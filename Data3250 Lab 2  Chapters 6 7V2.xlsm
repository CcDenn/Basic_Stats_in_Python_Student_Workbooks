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defaultThemeVersion="166925"/>
  <mc:AlternateContent xmlns:mc="http://schemas.openxmlformats.org/markup-compatibility/2006">
    <mc:Choice Requires="x15">
      <x15ac:absPath xmlns:x15ac="http://schemas.microsoft.com/office/spreadsheetml/2010/11/ac" url="C:\Users\denni\Desktop\"/>
    </mc:Choice>
  </mc:AlternateContent>
  <xr:revisionPtr revIDLastSave="0" documentId="13_ncr:1_{D053D24D-4696-4C54-A8E4-2C0E21077298}" xr6:coauthVersionLast="47" xr6:coauthVersionMax="47" xr10:uidLastSave="{00000000-0000-0000-0000-000000000000}"/>
  <bookViews>
    <workbookView xWindow="-120" yWindow="-120" windowWidth="29040" windowHeight="15840" firstSheet="1" activeTab="1" xr2:uid="{14AFA544-0B4F-4C56-AA5D-03C915348B68}"/>
  </bookViews>
  <sheets>
    <sheet name="Student Comments" sheetId="25" state="hidden" r:id="rId1"/>
    <sheet name="Cover Sheet" sheetId="21" r:id="rId2"/>
    <sheet name="Sheet3" sheetId="32" state="veryHidden" r:id="rId3"/>
    <sheet name="Scoresheet" sheetId="50" state="veryHidden" r:id="rId4"/>
    <sheet name="Question1" sheetId="36" state="veryHidden" r:id="rId5"/>
    <sheet name="Answer1" sheetId="37" state="veryHidden" r:id="rId6"/>
    <sheet name="Question2" sheetId="38" state="veryHidden" r:id="rId7"/>
    <sheet name="Answer2" sheetId="39" state="veryHidden" r:id="rId8"/>
    <sheet name="Question3" sheetId="40" state="veryHidden" r:id="rId9"/>
    <sheet name="Answer3" sheetId="41" state="veryHidden" r:id="rId10"/>
    <sheet name="Question4" sheetId="42" state="veryHidden" r:id="rId11"/>
    <sheet name="Answer4" sheetId="43" state="veryHidden" r:id="rId12"/>
    <sheet name="Question5" sheetId="44" state="veryHidden" r:id="rId13"/>
    <sheet name="Answer5" sheetId="45" state="veryHidden" r:id="rId14"/>
    <sheet name="Question6" sheetId="46" state="veryHidden" r:id="rId15"/>
    <sheet name="Answer6" sheetId="47" state="veryHidden" r:id="rId16"/>
    <sheet name="Question7" sheetId="49" state="veryHidden" r:id="rId17"/>
    <sheet name="Answer7" sheetId="48" state="veryHidden" r:id="rId18"/>
    <sheet name="Configuration" sheetId="23" state="veryHidden" r:id="rId19"/>
    <sheet name="LogDetails" sheetId="24" state="veryHidden" r:id="rId20"/>
    <sheet name="Account List" sheetId="3" state="veryHidden" r:id="rId21"/>
  </sheets>
  <functionGroups builtInGroupCount="19"/>
  <definedNames>
    <definedName name="_xlnm.Print_Area" localSheetId="1">'Cover Sheet'!$A$1:$R$63</definedName>
    <definedName name="solver_typ" localSheetId="1" hidden="1">2</definedName>
    <definedName name="solver_ver" localSheetId="1" hidden="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1" i="50" l="1"/>
  <c r="A2" i="47" a="1"/>
  <c r="A2" i="45" a="1"/>
  <c r="A2" i="43" a="1"/>
  <c r="A1" i="41" a="1"/>
  <c r="A1" i="39" a="1"/>
  <c r="A2" i="37" a="1"/>
  <c r="A2" i="48" a="1"/>
  <c r="A2" i="48" l="1"/>
  <c r="A2" i="47"/>
  <c r="A2" i="45"/>
  <c r="A2" i="43"/>
  <c r="A1" i="41"/>
  <c r="A1" i="39"/>
  <c r="A2" i="37"/>
  <c r="B1" i="49"/>
  <c r="B1" i="46"/>
  <c r="D10" i="50" l="1"/>
  <c r="D9" i="50"/>
  <c r="D8" i="50"/>
  <c r="G92" i="21"/>
  <c r="G94" i="21"/>
  <c r="G76" i="21"/>
  <c r="H92" i="21"/>
  <c r="D6" i="50" l="1"/>
  <c r="D4" i="50"/>
  <c r="D5" i="50"/>
  <c r="D7" i="50"/>
  <c r="G127" i="21"/>
  <c r="D11" i="50" l="1"/>
  <c r="I29" i="21"/>
  <c r="G170" i="21"/>
  <c r="G169" i="21"/>
  <c r="G168" i="21"/>
  <c r="G167" i="21"/>
  <c r="G166" i="21"/>
  <c r="G165" i="21"/>
  <c r="G164" i="21"/>
  <c r="G163" i="21"/>
  <c r="G162" i="21"/>
  <c r="G161" i="21"/>
  <c r="G160" i="21"/>
  <c r="G159" i="21"/>
  <c r="G158" i="21"/>
  <c r="G157" i="21"/>
  <c r="G156" i="21"/>
  <c r="G131" i="21"/>
  <c r="G143" i="21"/>
  <c r="G149" i="21"/>
  <c r="G148" i="21"/>
  <c r="G146" i="21"/>
  <c r="G145" i="21"/>
  <c r="G142" i="21"/>
  <c r="G137" i="21"/>
  <c r="G138" i="21"/>
  <c r="G139" i="21"/>
  <c r="G140" i="21"/>
  <c r="G141" i="21"/>
  <c r="G136" i="21"/>
  <c r="G134" i="21"/>
  <c r="G133" i="21"/>
  <c r="G130" i="21"/>
  <c r="G147" i="21"/>
  <c r="G144" i="21"/>
  <c r="G135" i="21"/>
  <c r="G132" i="21"/>
  <c r="H135" i="21"/>
  <c r="H138" i="21"/>
  <c r="H166" i="21"/>
  <c r="H136" i="21"/>
  <c r="H149" i="21"/>
  <c r="H132" i="21"/>
  <c r="H167" i="21"/>
  <c r="H160" i="21"/>
  <c r="H146" i="21"/>
  <c r="H158" i="21"/>
  <c r="H169" i="21"/>
  <c r="H145" i="21"/>
  <c r="H163" i="21"/>
  <c r="H141" i="21"/>
  <c r="H147" i="21"/>
  <c r="H144" i="21"/>
  <c r="H156" i="21"/>
  <c r="H142" i="21"/>
  <c r="H164" i="21"/>
  <c r="H159" i="21"/>
  <c r="H162" i="21"/>
  <c r="H131" i="21"/>
  <c r="H140" i="21"/>
  <c r="H133" i="21"/>
  <c r="H143" i="21"/>
  <c r="H130" i="21"/>
  <c r="H170" i="21"/>
  <c r="G125" i="21" l="1"/>
  <c r="G123" i="21"/>
  <c r="G114" i="21"/>
  <c r="G113" i="21"/>
  <c r="G112" i="21"/>
  <c r="G110" i="21"/>
  <c r="G109" i="21"/>
  <c r="G107" i="21"/>
  <c r="G106" i="21"/>
  <c r="G105" i="21"/>
  <c r="G103" i="21"/>
  <c r="G101" i="21"/>
  <c r="G100" i="21"/>
  <c r="G99" i="21"/>
  <c r="G97" i="21"/>
  <c r="G95" i="21"/>
  <c r="G93" i="21"/>
  <c r="G90" i="21"/>
  <c r="G89" i="21"/>
  <c r="G88" i="21"/>
  <c r="G87" i="21"/>
  <c r="E101" i="21"/>
  <c r="G124" i="21"/>
  <c r="G115" i="21"/>
  <c r="G120" i="21"/>
  <c r="G116" i="21"/>
  <c r="G83" i="21"/>
  <c r="G81" i="21"/>
  <c r="G79" i="21"/>
  <c r="G78" i="21"/>
  <c r="G77" i="21"/>
  <c r="G75" i="21"/>
  <c r="G74" i="21"/>
  <c r="G73" i="21"/>
  <c r="G72" i="21"/>
  <c r="G70" i="21"/>
  <c r="G68" i="21"/>
  <c r="G69" i="21"/>
  <c r="G67" i="21"/>
  <c r="G59" i="21"/>
  <c r="G63" i="21"/>
  <c r="G57" i="21"/>
  <c r="E55" i="21"/>
  <c r="G50" i="21"/>
  <c r="G45" i="21"/>
  <c r="G43" i="21"/>
  <c r="E52" i="21"/>
  <c r="E49" i="21"/>
  <c r="E42" i="21"/>
  <c r="G39" i="21"/>
  <c r="G54" i="21"/>
  <c r="H125" i="21"/>
  <c r="H106" i="21"/>
  <c r="H114" i="21"/>
  <c r="H45" i="21"/>
  <c r="H39" i="21"/>
  <c r="H148" i="21"/>
  <c r="H168" i="21"/>
  <c r="H124" i="21"/>
  <c r="H139" i="21"/>
  <c r="H157" i="21"/>
  <c r="H87" i="21"/>
  <c r="H100" i="21"/>
  <c r="H83" i="21"/>
  <c r="H43" i="21"/>
  <c r="H165" i="21"/>
  <c r="H50" i="21"/>
  <c r="H137" i="21"/>
  <c r="H161" i="21"/>
  <c r="H134" i="21"/>
  <c r="G126" i="21" l="1"/>
  <c r="G118" i="21"/>
  <c r="H171" i="21"/>
  <c r="H154" i="21"/>
  <c r="H113" i="21"/>
  <c r="H79" i="21"/>
  <c r="H89" i="21"/>
  <c r="H123" i="21"/>
  <c r="H94" i="21"/>
  <c r="H99" i="21"/>
  <c r="H77" i="21"/>
  <c r="H69" i="21"/>
  <c r="H70" i="21"/>
  <c r="H76" i="21"/>
  <c r="H109" i="21"/>
  <c r="H57" i="21"/>
  <c r="H115" i="21"/>
  <c r="H54" i="21"/>
  <c r="H63" i="21"/>
  <c r="H88" i="21"/>
  <c r="H73" i="21"/>
  <c r="H81" i="21"/>
  <c r="H103" i="21"/>
  <c r="H68" i="21"/>
  <c r="H72" i="21"/>
  <c r="H95" i="21"/>
  <c r="H116" i="21"/>
  <c r="H90" i="21"/>
  <c r="H105" i="21"/>
  <c r="H112" i="21"/>
  <c r="H126" i="21"/>
  <c r="H118" i="21"/>
  <c r="H59" i="21"/>
  <c r="H97" i="21"/>
  <c r="H67" i="21"/>
  <c r="H74" i="21"/>
  <c r="H107" i="21"/>
  <c r="H110" i="21"/>
  <c r="H78" i="21"/>
  <c r="H120" i="21"/>
  <c r="H101" i="21"/>
  <c r="H93" i="21"/>
  <c r="H75" i="21"/>
  <c r="H65" i="21" l="1"/>
  <c r="H127" i="21"/>
  <c r="G84" i="21" l="1"/>
  <c r="G82" i="21"/>
  <c r="H82" i="21"/>
  <c r="G128" i="21" l="1"/>
  <c r="H84" i="21"/>
  <c r="H128" i="21"/>
  <c r="H85" i="21" l="1"/>
  <c r="H129" i="21"/>
  <c r="L27" i="2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<sst xmlns="http://schemas.openxmlformats.org/spreadsheetml/2006/main" count="2026" uniqueCount="710">
  <si>
    <t>Cash</t>
  </si>
  <si>
    <t>Prepaid Rent</t>
  </si>
  <si>
    <t>Prepaid Insurance</t>
  </si>
  <si>
    <t>Inventory</t>
  </si>
  <si>
    <t>Equipment</t>
  </si>
  <si>
    <t>Common Shares</t>
  </si>
  <si>
    <t>Retained Earnings</t>
  </si>
  <si>
    <t>Debit</t>
  </si>
  <si>
    <t>Credit</t>
  </si>
  <si>
    <t>Insurance Expense</t>
  </si>
  <si>
    <t>Wages Expense</t>
  </si>
  <si>
    <t>Account List</t>
  </si>
  <si>
    <t xml:space="preserve">Type </t>
  </si>
  <si>
    <t>Increase Decrease</t>
  </si>
  <si>
    <t>Debit Credit</t>
  </si>
  <si>
    <t>Accounts Payable</t>
  </si>
  <si>
    <t>Asset</t>
  </si>
  <si>
    <t>Increase</t>
  </si>
  <si>
    <t>Accounts Receivable</t>
  </si>
  <si>
    <t>Liability</t>
  </si>
  <si>
    <t>Decrease</t>
  </si>
  <si>
    <t>Accumulated Depreciation</t>
  </si>
  <si>
    <t>Revenue</t>
  </si>
  <si>
    <t>Expense</t>
  </si>
  <si>
    <t>Cost of Goods Sold</t>
  </si>
  <si>
    <t>Dividends Declared</t>
  </si>
  <si>
    <t>Depreciation Expense</t>
  </si>
  <si>
    <t>C-Asset</t>
  </si>
  <si>
    <t>Interest Expense</t>
  </si>
  <si>
    <t>Interest Payable</t>
  </si>
  <si>
    <t>Interest Revenue</t>
  </si>
  <si>
    <t>Inventory Expense</t>
  </si>
  <si>
    <t>Loans Payable</t>
  </si>
  <si>
    <t>Notes Payable</t>
  </si>
  <si>
    <t>Rent Expense</t>
  </si>
  <si>
    <t>Supplies</t>
  </si>
  <si>
    <t>Supplies Expense</t>
  </si>
  <si>
    <t>Utilities Expense</t>
  </si>
  <si>
    <t>Wages Payable</t>
  </si>
  <si>
    <t>Dividends Payable</t>
  </si>
  <si>
    <t>Income Summary</t>
  </si>
  <si>
    <t>Income Tax Expense</t>
  </si>
  <si>
    <t>Gross Profit</t>
  </si>
  <si>
    <t>a</t>
  </si>
  <si>
    <t>b</t>
  </si>
  <si>
    <t>c</t>
  </si>
  <si>
    <t>d</t>
  </si>
  <si>
    <t>Van</t>
  </si>
  <si>
    <t xml:space="preserve"> </t>
  </si>
  <si>
    <t>Better/Worse</t>
  </si>
  <si>
    <t>Instructions:</t>
  </si>
  <si>
    <t>Marks Earned</t>
  </si>
  <si>
    <t>Marks Available</t>
  </si>
  <si>
    <t xml:space="preserve">Student Name: </t>
  </si>
  <si>
    <t>Question 3</t>
  </si>
  <si>
    <t>Question 4</t>
  </si>
  <si>
    <t>Question 5</t>
  </si>
  <si>
    <t>Entry into this excel file is being tracked by your unique computer username, any attempt to share files will result in a grade of zero.</t>
  </si>
  <si>
    <t>Access to anything other than than this excel file and moodle is prohibited. Any attempt to copy and paste from other files will be tracked and will result in a grade of zero.</t>
  </si>
  <si>
    <t>Parameter</t>
  </si>
  <si>
    <t>DataType</t>
  </si>
  <si>
    <t>Value</t>
  </si>
  <si>
    <t>Datetime</t>
  </si>
  <si>
    <t>Positive</t>
  </si>
  <si>
    <t>Column1</t>
  </si>
  <si>
    <t>Negative</t>
  </si>
  <si>
    <t>PINUnlock</t>
  </si>
  <si>
    <t>Number</t>
  </si>
  <si>
    <t/>
  </si>
  <si>
    <t xml:space="preserve">April 30, cash balance </t>
  </si>
  <si>
    <t>Dividends paid in May</t>
  </si>
  <si>
    <t>Cash collections in May</t>
  </si>
  <si>
    <t>Merchandise purchases paid in cash in May</t>
  </si>
  <si>
    <t>e</t>
  </si>
  <si>
    <t>U</t>
  </si>
  <si>
    <t>* material required per unit</t>
  </si>
  <si>
    <t>Material needed for production</t>
  </si>
  <si>
    <t>Add: desired ending inventory</t>
  </si>
  <si>
    <t>Total material required</t>
  </si>
  <si>
    <t>Less: beginning inventory</t>
  </si>
  <si>
    <t>Material to purchase</t>
  </si>
  <si>
    <t>Total cost of purchases</t>
  </si>
  <si>
    <t>F</t>
  </si>
  <si>
    <t>toy fire trucks</t>
  </si>
  <si>
    <t>toy police cars</t>
  </si>
  <si>
    <t>Operating expenses - paid in cash</t>
  </si>
  <si>
    <t>Equipment purchase in cash in May</t>
  </si>
  <si>
    <t>No</t>
  </si>
  <si>
    <t>Yes</t>
  </si>
  <si>
    <t>N/A</t>
  </si>
  <si>
    <t>Depreciation expense in May</t>
  </si>
  <si>
    <t>Instructor:</t>
  </si>
  <si>
    <t xml:space="preserve"> All answers are to be recorded in excel in the blue cells.</t>
  </si>
  <si>
    <r>
      <t>·</t>
    </r>
    <r>
      <rPr>
        <sz val="7"/>
        <rFont val="Times New Roman"/>
        <family val="1"/>
      </rPr>
      <t>      </t>
    </r>
  </si>
  <si>
    <t>Less: desired ending inventory</t>
  </si>
  <si>
    <t>add: beginning inventory</t>
  </si>
  <si>
    <t>DM Efficiency Variance</t>
  </si>
  <si>
    <t>DM Rate Variance</t>
  </si>
  <si>
    <t xml:space="preserve">both </t>
  </si>
  <si>
    <t>neither</t>
  </si>
  <si>
    <t>WIP Inventory Control</t>
  </si>
  <si>
    <t>DM Inventory Control</t>
  </si>
  <si>
    <t>/ material required per unit</t>
  </si>
  <si>
    <t>InactivityTimeout</t>
  </si>
  <si>
    <t>Effective Date</t>
  </si>
  <si>
    <t>Termination Date</t>
  </si>
  <si>
    <t>Edit Mode</t>
  </si>
  <si>
    <t>Boolean</t>
  </si>
  <si>
    <t>Gift Card Liability</t>
  </si>
  <si>
    <t>Sales Revenue</t>
  </si>
  <si>
    <t>Preferred Shares</t>
  </si>
  <si>
    <t>Worsened</t>
  </si>
  <si>
    <t>Improved</t>
  </si>
  <si>
    <t>Question</t>
  </si>
  <si>
    <t>Answer Type</t>
  </si>
  <si>
    <t>Expected Answer</t>
  </si>
  <si>
    <t>Mark Allocation</t>
  </si>
  <si>
    <t>Student Answer</t>
  </si>
  <si>
    <t>Grade</t>
  </si>
  <si>
    <t>depreciation expense</t>
  </si>
  <si>
    <t>building</t>
  </si>
  <si>
    <t>office furniture</t>
  </si>
  <si>
    <t>truck</t>
  </si>
  <si>
    <t>production machinery</t>
  </si>
  <si>
    <t>acc. Dep</t>
  </si>
  <si>
    <t>office furn</t>
  </si>
  <si>
    <t>machine</t>
  </si>
  <si>
    <t>GC Liab</t>
  </si>
  <si>
    <t>text</t>
  </si>
  <si>
    <t>number</t>
  </si>
  <si>
    <t>TOTAL MARKS EARNED</t>
  </si>
  <si>
    <t>Sh Equity</t>
  </si>
  <si>
    <t xml:space="preserve">text </t>
  </si>
  <si>
    <t>Part 2</t>
  </si>
  <si>
    <t>net income</t>
  </si>
  <si>
    <t>shares issued</t>
  </si>
  <si>
    <t>dividends declared</t>
  </si>
  <si>
    <t>ending balance</t>
  </si>
  <si>
    <t>Ratios</t>
  </si>
  <si>
    <t>current ratio</t>
  </si>
  <si>
    <t>analysis</t>
  </si>
  <si>
    <t>quick ratio</t>
  </si>
  <si>
    <t>A/R Turn</t>
  </si>
  <si>
    <t>Average Collection</t>
  </si>
  <si>
    <t>Inventory Turn</t>
  </si>
  <si>
    <t>Days to sell</t>
  </si>
  <si>
    <t>A/P Turn</t>
  </si>
  <si>
    <t>Pmt period</t>
  </si>
  <si>
    <t>GP %</t>
  </si>
  <si>
    <t>Profit Margin</t>
  </si>
  <si>
    <t>Return on assets</t>
  </si>
  <si>
    <t>Return on equity</t>
  </si>
  <si>
    <t>Liquidity</t>
  </si>
  <si>
    <t>Activity</t>
  </si>
  <si>
    <t>Profitability</t>
  </si>
  <si>
    <t>MC</t>
  </si>
  <si>
    <t>12/10/2022 2:30:00 PM</t>
  </si>
  <si>
    <t>DATA 3250</t>
  </si>
  <si>
    <t xml:space="preserve"> Mark Zubis</t>
  </si>
  <si>
    <t>This lab uses the Adventures Works database</t>
  </si>
  <si>
    <t>Production Technician - WC60</t>
  </si>
  <si>
    <t>Production Technician - WC40</t>
  </si>
  <si>
    <t>Production Technician - WC20</t>
  </si>
  <si>
    <t xml:space="preserve">SQL Syntax - Columns must be select in the same sequence(order) as they are listed in the questions.  </t>
  </si>
  <si>
    <t>Question 3:   (10 marks)</t>
  </si>
  <si>
    <t>Question 2:  (10 marks)</t>
  </si>
  <si>
    <t>Question 1:  (10 marks)</t>
  </si>
  <si>
    <t>Question 4:  (10 Marks)</t>
  </si>
  <si>
    <t>Copy and paste your answer from the SQL window starting in Cell A5</t>
  </si>
  <si>
    <t xml:space="preserve">SQL Syntax -  include the column headers with your answers.  </t>
  </si>
  <si>
    <t>LoginID</t>
  </si>
  <si>
    <t>JobTitle</t>
  </si>
  <si>
    <t>Copy and paste your answer from the SQL window starting in Cell A5, include the headers (columns names) with your response.  This is done by right clicking on the query results and choosing "Copy with Headers", as per the screen shot.</t>
  </si>
  <si>
    <t>Copy and paste your answer from the SQL window starting in Cell A5.  Include the headers (column names) in your list</t>
  </si>
  <si>
    <t>Question 6:  (10 Marks)</t>
  </si>
  <si>
    <t>Marks</t>
  </si>
  <si>
    <r>
      <t>from</t>
    </r>
    <r>
      <rPr>
        <sz val="7"/>
        <color rgb="FF212121"/>
        <rFont val="Consolas"/>
        <family val="3"/>
      </rPr>
      <t> [HumanResources].[Employee]</t>
    </r>
  </si>
  <si>
    <t>Database:  AdventureWorks19</t>
  </si>
  <si>
    <t xml:space="preserve">Question 7:   </t>
  </si>
  <si>
    <t>AssessmentType</t>
  </si>
  <si>
    <t>Lab</t>
  </si>
  <si>
    <t>Totals</t>
  </si>
  <si>
    <t xml:space="preserve">Copy and paste your answer from the SQL window starting in Cell A5.   </t>
  </si>
  <si>
    <t>Name</t>
  </si>
  <si>
    <t>Lab 2</t>
  </si>
  <si>
    <t>Table</t>
  </si>
  <si>
    <t>Table:</t>
  </si>
  <si>
    <t>[Production].[Productinventory]</t>
  </si>
  <si>
    <t>productid</t>
  </si>
  <si>
    <t>locationid</t>
  </si>
  <si>
    <t>quantity</t>
  </si>
  <si>
    <t>shelf</t>
  </si>
  <si>
    <t>S</t>
  </si>
  <si>
    <t>Y</t>
  </si>
  <si>
    <r>
      <t>select</t>
    </r>
    <r>
      <rPr>
        <sz val="7"/>
        <color rgb="FF212121"/>
        <rFont val="Consolas"/>
        <family val="3"/>
      </rPr>
      <t> productid, locationid, quantity, shelf</t>
    </r>
  </si>
  <si>
    <r>
      <t>from</t>
    </r>
    <r>
      <rPr>
        <sz val="7"/>
        <color rgb="FF212121"/>
        <rFont val="Consolas"/>
        <family val="3"/>
      </rPr>
      <t> [Production].[Productinventory]</t>
    </r>
  </si>
  <si>
    <r>
      <t>order by</t>
    </r>
    <r>
      <rPr>
        <sz val="7"/>
        <color rgb="FF212121"/>
        <rFont val="Consolas"/>
        <family val="3"/>
      </rPr>
      <t> shelf, quantity </t>
    </r>
    <r>
      <rPr>
        <sz val="7"/>
        <color rgb="FF0000FF"/>
        <rFont val="Consolas"/>
        <family val="3"/>
      </rPr>
      <t>desc</t>
    </r>
  </si>
  <si>
    <t>HL Road Pedal</t>
  </si>
  <si>
    <t>PD-R853</t>
  </si>
  <si>
    <t>Silver/Black</t>
  </si>
  <si>
    <t xml:space="preserve">H </t>
  </si>
  <si>
    <t>ML Road Pedal</t>
  </si>
  <si>
    <t>PD-R563</t>
  </si>
  <si>
    <t xml:space="preserve">M </t>
  </si>
  <si>
    <t>HL Mountain Pedal</t>
  </si>
  <si>
    <t>PD-M562</t>
  </si>
  <si>
    <t>LL Road Pedal</t>
  </si>
  <si>
    <t>PD-R347</t>
  </si>
  <si>
    <t xml:space="preserve">L </t>
  </si>
  <si>
    <t>Include your SQL syntax in cell N3.</t>
  </si>
  <si>
    <t>ProductNumber</t>
  </si>
  <si>
    <t>Color</t>
  </si>
  <si>
    <t>class</t>
  </si>
  <si>
    <t>Weight</t>
  </si>
  <si>
    <r>
      <t>select</t>
    </r>
    <r>
      <rPr>
        <sz val="7"/>
        <color rgb="FF212121"/>
        <rFont val="Consolas"/>
        <family val="3"/>
      </rPr>
      <t> [Name],[ProductNumber],[Color], class,  [Weight]</t>
    </r>
  </si>
  <si>
    <r>
      <t>from</t>
    </r>
    <r>
      <rPr>
        <sz val="7"/>
        <color rgb="FF212121"/>
        <rFont val="Consolas"/>
        <family val="3"/>
      </rPr>
      <t> production.product</t>
    </r>
  </si>
  <si>
    <r>
      <t>where</t>
    </r>
    <r>
      <rPr>
        <sz val="7"/>
        <color rgb="FF212121"/>
        <rFont val="Consolas"/>
        <family val="3"/>
      </rPr>
      <t> class </t>
    </r>
    <r>
      <rPr>
        <sz val="7"/>
        <color rgb="FF0000FF"/>
        <rFont val="Consolas"/>
        <family val="3"/>
      </rPr>
      <t>is</t>
    </r>
    <r>
      <rPr>
        <sz val="7"/>
        <color rgb="FF212121"/>
        <rFont val="Consolas"/>
        <family val="3"/>
      </rPr>
      <t> </t>
    </r>
    <r>
      <rPr>
        <sz val="7"/>
        <color rgb="FF0000FF"/>
        <rFont val="Consolas"/>
        <family val="3"/>
      </rPr>
      <t>not</t>
    </r>
    <r>
      <rPr>
        <sz val="7"/>
        <color rgb="FF212121"/>
        <rFont val="Consolas"/>
        <family val="3"/>
      </rPr>
      <t> </t>
    </r>
    <r>
      <rPr>
        <sz val="7"/>
        <color rgb="FF0000FF"/>
        <rFont val="Consolas"/>
        <family val="3"/>
      </rPr>
      <t>null</t>
    </r>
  </si>
  <si>
    <r>
      <t>and</t>
    </r>
    <r>
      <rPr>
        <sz val="7"/>
        <color rgb="FF212121"/>
        <rFont val="Consolas"/>
        <family val="3"/>
      </rPr>
      <t> ( color </t>
    </r>
    <r>
      <rPr>
        <sz val="7"/>
        <color rgb="FF000000"/>
        <rFont val="Consolas"/>
        <family val="3"/>
      </rPr>
      <t>=</t>
    </r>
    <r>
      <rPr>
        <sz val="7"/>
        <color rgb="FFA31515"/>
        <rFont val="Consolas"/>
        <family val="3"/>
      </rPr>
      <t>'Silver/Black'</t>
    </r>
    <r>
      <rPr>
        <sz val="7"/>
        <color rgb="FF212121"/>
        <rFont val="Consolas"/>
        <family val="3"/>
      </rPr>
      <t> ) </t>
    </r>
  </si>
  <si>
    <r>
      <t>and</t>
    </r>
    <r>
      <rPr>
        <sz val="7"/>
        <color rgb="FF212121"/>
        <rFont val="Consolas"/>
        <family val="3"/>
      </rPr>
      <t> </t>
    </r>
    <r>
      <rPr>
        <sz val="7"/>
        <color rgb="FF0000FF"/>
        <rFont val="Consolas"/>
        <family val="3"/>
      </rPr>
      <t>weight</t>
    </r>
    <r>
      <rPr>
        <sz val="7"/>
        <color rgb="FF212121"/>
        <rFont val="Consolas"/>
        <family val="3"/>
      </rPr>
      <t> </t>
    </r>
    <r>
      <rPr>
        <sz val="7"/>
        <color rgb="FF000000"/>
        <rFont val="Consolas"/>
        <family val="3"/>
      </rPr>
      <t>&lt;</t>
    </r>
    <r>
      <rPr>
        <sz val="7"/>
        <color rgb="FF212121"/>
        <rFont val="Consolas"/>
        <family val="3"/>
      </rPr>
      <t> </t>
    </r>
    <r>
      <rPr>
        <sz val="7"/>
        <color rgb="FF09885A"/>
        <rFont val="Consolas"/>
        <family val="3"/>
      </rPr>
      <t>200</t>
    </r>
  </si>
  <si>
    <r>
      <t>order by</t>
    </r>
    <r>
      <rPr>
        <sz val="7"/>
        <color rgb="FF212121"/>
        <rFont val="Consolas"/>
        <family val="3"/>
      </rPr>
      <t> </t>
    </r>
    <r>
      <rPr>
        <sz val="7"/>
        <color rgb="FF0000FF"/>
        <rFont val="Consolas"/>
        <family val="3"/>
      </rPr>
      <t>weight</t>
    </r>
    <r>
      <rPr>
        <sz val="7"/>
        <color rgb="FF212121"/>
        <rFont val="Consolas"/>
        <family val="3"/>
      </rPr>
      <t> , </t>
    </r>
    <r>
      <rPr>
        <sz val="7"/>
        <color rgb="FF0000FF"/>
        <rFont val="Consolas"/>
        <family val="3"/>
      </rPr>
      <t>name</t>
    </r>
  </si>
  <si>
    <r>
      <t>select</t>
    </r>
    <r>
      <rPr>
        <sz val="7"/>
        <color rgb="FF212121"/>
        <rFont val="Consolas"/>
        <family val="3"/>
      </rPr>
      <t> [Name],[ProductNumber],[Color]</t>
    </r>
  </si>
  <si>
    <r>
      <t>where</t>
    </r>
    <r>
      <rPr>
        <sz val="7"/>
        <color rgb="FF212121"/>
        <rFont val="Consolas"/>
        <family val="3"/>
      </rPr>
      <t> color </t>
    </r>
    <r>
      <rPr>
        <sz val="7"/>
        <color rgb="FF0000FF"/>
        <rFont val="Consolas"/>
        <family val="3"/>
      </rPr>
      <t>in</t>
    </r>
    <r>
      <rPr>
        <sz val="7"/>
        <color rgb="FF212121"/>
        <rFont val="Consolas"/>
        <family val="3"/>
      </rPr>
      <t>  (</t>
    </r>
    <r>
      <rPr>
        <sz val="7"/>
        <color rgb="FFA31515"/>
        <rFont val="Consolas"/>
        <family val="3"/>
      </rPr>
      <t>'black'</t>
    </r>
    <r>
      <rPr>
        <sz val="7"/>
        <color rgb="FF212121"/>
        <rFont val="Consolas"/>
        <family val="3"/>
      </rPr>
      <t>, </t>
    </r>
    <r>
      <rPr>
        <sz val="7"/>
        <color rgb="FFA31515"/>
        <rFont val="Consolas"/>
        <family val="3"/>
      </rPr>
      <t>'silver'</t>
    </r>
    <r>
      <rPr>
        <sz val="7"/>
        <color rgb="FF212121"/>
        <rFont val="Consolas"/>
        <family val="3"/>
      </rPr>
      <t>)</t>
    </r>
  </si>
  <si>
    <r>
      <t>and</t>
    </r>
    <r>
      <rPr>
        <sz val="7"/>
        <color rgb="FF212121"/>
        <rFont val="Consolas"/>
        <family val="3"/>
      </rPr>
      <t> class </t>
    </r>
    <r>
      <rPr>
        <sz val="7"/>
        <color rgb="FF0000FF"/>
        <rFont val="Consolas"/>
        <family val="3"/>
      </rPr>
      <t>is</t>
    </r>
    <r>
      <rPr>
        <sz val="7"/>
        <color rgb="FF212121"/>
        <rFont val="Consolas"/>
        <family val="3"/>
      </rPr>
      <t>   </t>
    </r>
    <r>
      <rPr>
        <sz val="7"/>
        <color rgb="FF0000FF"/>
        <rFont val="Consolas"/>
        <family val="3"/>
      </rPr>
      <t>null</t>
    </r>
  </si>
  <si>
    <r>
      <t>order by</t>
    </r>
    <r>
      <rPr>
        <sz val="7"/>
        <color rgb="FF212121"/>
        <rFont val="Consolas"/>
        <family val="3"/>
      </rPr>
      <t>  productnumber</t>
    </r>
  </si>
  <si>
    <t>Black</t>
  </si>
  <si>
    <t>Chainring Bolts</t>
  </si>
  <si>
    <t>CB-2903</t>
  </si>
  <si>
    <t>Silver</t>
  </si>
  <si>
    <t>Chain</t>
  </si>
  <si>
    <t>CH-0234</t>
  </si>
  <si>
    <t>Chainring Nut</t>
  </si>
  <si>
    <t>CN-6137</t>
  </si>
  <si>
    <t>Front Brakes</t>
  </si>
  <si>
    <t>FB-9873</t>
  </si>
  <si>
    <t>Front Derailleur Cage</t>
  </si>
  <si>
    <t>FC-3982</t>
  </si>
  <si>
    <t>Front Derailleur</t>
  </si>
  <si>
    <t>FD-2342</t>
  </si>
  <si>
    <t>Freewheel</t>
  </si>
  <si>
    <t>FH-2981</t>
  </si>
  <si>
    <t>Front Derailleur Linkage</t>
  </si>
  <si>
    <t>FL-2301</t>
  </si>
  <si>
    <t>Hydration Pack - 70 oz.</t>
  </si>
  <si>
    <t>HY-1023-70</t>
  </si>
  <si>
    <t>Lock Ring</t>
  </si>
  <si>
    <t>LR-2398</t>
  </si>
  <si>
    <t>Rear Brakes</t>
  </si>
  <si>
    <t>RB-9231</t>
  </si>
  <si>
    <t>Rear Derailleur Cage</t>
  </si>
  <si>
    <t>RC-0291</t>
  </si>
  <si>
    <t>Rear Derailleur</t>
  </si>
  <si>
    <t>RD-2308</t>
  </si>
  <si>
    <t>Sales SalesOrderHeader</t>
  </si>
  <si>
    <t>SalesOrderID</t>
  </si>
  <si>
    <t>OrderDate</t>
  </si>
  <si>
    <t>CustomerID</t>
  </si>
  <si>
    <t>TerritoryID</t>
  </si>
  <si>
    <r>
      <t>select</t>
    </r>
    <r>
      <rPr>
        <sz val="7"/>
        <color rgb="FF212121"/>
        <rFont val="Consolas"/>
        <family val="3"/>
      </rPr>
      <t>   [SalesOrderID],[OrderDate],[CustomerID],[TerritoryID]</t>
    </r>
  </si>
  <si>
    <r>
      <t>from</t>
    </r>
    <r>
      <rPr>
        <sz val="7"/>
        <color rgb="FF212121"/>
        <rFont val="Consolas"/>
        <family val="3"/>
      </rPr>
      <t>  [sales].[SalesOrderHeader]</t>
    </r>
  </si>
  <si>
    <r>
      <t>and</t>
    </r>
    <r>
      <rPr>
        <sz val="7"/>
        <color rgb="FF212121"/>
        <rFont val="Consolas"/>
        <family val="3"/>
      </rPr>
      <t>  (territoryid </t>
    </r>
    <r>
      <rPr>
        <sz val="7"/>
        <color rgb="FF0000FF"/>
        <rFont val="Consolas"/>
        <family val="3"/>
      </rPr>
      <t>between</t>
    </r>
    <r>
      <rPr>
        <sz val="7"/>
        <color rgb="FF212121"/>
        <rFont val="Consolas"/>
        <family val="3"/>
      </rPr>
      <t> </t>
    </r>
    <r>
      <rPr>
        <sz val="7"/>
        <color rgb="FF09885A"/>
        <rFont val="Consolas"/>
        <family val="3"/>
      </rPr>
      <t>6</t>
    </r>
    <r>
      <rPr>
        <sz val="7"/>
        <color rgb="FF212121"/>
        <rFont val="Consolas"/>
        <family val="3"/>
      </rPr>
      <t> </t>
    </r>
    <r>
      <rPr>
        <sz val="7"/>
        <color rgb="FF0000FF"/>
        <rFont val="Consolas"/>
        <family val="3"/>
      </rPr>
      <t>and</t>
    </r>
    <r>
      <rPr>
        <sz val="7"/>
        <color rgb="FF212121"/>
        <rFont val="Consolas"/>
        <family val="3"/>
      </rPr>
      <t> </t>
    </r>
    <r>
      <rPr>
        <sz val="7"/>
        <color rgb="FF09885A"/>
        <rFont val="Consolas"/>
        <family val="3"/>
      </rPr>
      <t>8</t>
    </r>
    <r>
      <rPr>
        <sz val="7"/>
        <color rgb="FF212121"/>
        <rFont val="Consolas"/>
        <family val="3"/>
      </rPr>
      <t>   </t>
    </r>
    <r>
      <rPr>
        <sz val="7"/>
        <color rgb="FF0000FF"/>
        <rFont val="Consolas"/>
        <family val="3"/>
      </rPr>
      <t>or</t>
    </r>
    <r>
      <rPr>
        <sz val="7"/>
        <color rgb="FF212121"/>
        <rFont val="Consolas"/>
        <family val="3"/>
      </rPr>
      <t> territoryid </t>
    </r>
    <r>
      <rPr>
        <sz val="7"/>
        <color rgb="FF000000"/>
        <rFont val="Consolas"/>
        <family val="3"/>
      </rPr>
      <t>=</t>
    </r>
    <r>
      <rPr>
        <sz val="7"/>
        <color rgb="FF212121"/>
        <rFont val="Consolas"/>
        <family val="3"/>
      </rPr>
      <t> </t>
    </r>
    <r>
      <rPr>
        <sz val="7"/>
        <color rgb="FF09885A"/>
        <rFont val="Consolas"/>
        <family val="3"/>
      </rPr>
      <t>10</t>
    </r>
    <r>
      <rPr>
        <sz val="7"/>
        <color rgb="FF212121"/>
        <rFont val="Consolas"/>
        <family val="3"/>
      </rPr>
      <t>)</t>
    </r>
  </si>
  <si>
    <r>
      <t>order by</t>
    </r>
    <r>
      <rPr>
        <sz val="7"/>
        <color rgb="FF212121"/>
        <rFont val="Consolas"/>
        <family val="3"/>
      </rPr>
      <t> salesorderid</t>
    </r>
  </si>
  <si>
    <t>AccountNumber</t>
  </si>
  <si>
    <t>PurchasingWebServiceURL</t>
  </si>
  <si>
    <t>ADATUM0001</t>
  </si>
  <si>
    <t>A. Datum Corporation</t>
  </si>
  <si>
    <t>www.adatum.com/</t>
  </si>
  <si>
    <t>LITWARE0001</t>
  </si>
  <si>
    <t>Litware, Inc.</t>
  </si>
  <si>
    <t>www.litwareinc.com/</t>
  </si>
  <si>
    <t>NORTHW0001</t>
  </si>
  <si>
    <t>Northwind Traders</t>
  </si>
  <si>
    <t>www.northwindtraders.com/</t>
  </si>
  <si>
    <t>WIDEWOR0001</t>
  </si>
  <si>
    <t>Wide World Importers</t>
  </si>
  <si>
    <t>www.wideworldimporters.com/</t>
  </si>
  <si>
    <r>
      <t>select</t>
    </r>
    <r>
      <rPr>
        <sz val="7"/>
        <color rgb="FF212121"/>
        <rFont val="Consolas"/>
        <family val="3"/>
      </rPr>
      <t> [AccountNumber],[Name],[PurchasingWebServiceURL]</t>
    </r>
  </si>
  <si>
    <r>
      <t>from</t>
    </r>
    <r>
      <rPr>
        <sz val="7"/>
        <color rgb="FF212121"/>
        <rFont val="Consolas"/>
        <family val="3"/>
      </rPr>
      <t> purchasing.vendor</t>
    </r>
  </si>
  <si>
    <r>
      <t>where</t>
    </r>
    <r>
      <rPr>
        <sz val="7"/>
        <color rgb="FF212121"/>
        <rFont val="Consolas"/>
        <family val="3"/>
      </rPr>
      <t> PurchasingWebServiceURL </t>
    </r>
    <r>
      <rPr>
        <sz val="7"/>
        <color rgb="FF0000FF"/>
        <rFont val="Consolas"/>
        <family val="3"/>
      </rPr>
      <t>like</t>
    </r>
    <r>
      <rPr>
        <sz val="7"/>
        <color rgb="FF212121"/>
        <rFont val="Consolas"/>
        <family val="3"/>
      </rPr>
      <t> </t>
    </r>
    <r>
      <rPr>
        <sz val="7"/>
        <color rgb="FFA31515"/>
        <rFont val="Consolas"/>
        <family val="3"/>
      </rPr>
      <t>'%.com/'</t>
    </r>
  </si>
  <si>
    <r>
      <t>and</t>
    </r>
    <r>
      <rPr>
        <sz val="7"/>
        <color rgb="FF212121"/>
        <rFont val="Consolas"/>
        <family val="3"/>
      </rPr>
      <t> ActiveFlag</t>
    </r>
    <r>
      <rPr>
        <sz val="7"/>
        <color rgb="FF000000"/>
        <rFont val="Consolas"/>
        <family val="3"/>
      </rPr>
      <t>=</t>
    </r>
    <r>
      <rPr>
        <sz val="7"/>
        <color rgb="FF09885A"/>
        <rFont val="Consolas"/>
        <family val="3"/>
      </rPr>
      <t>1</t>
    </r>
  </si>
  <si>
    <r>
      <t>order by</t>
    </r>
    <r>
      <rPr>
        <sz val="7"/>
        <color rgb="FF212121"/>
        <rFont val="Consolas"/>
        <family val="3"/>
      </rPr>
      <t> AccountNumber</t>
    </r>
  </si>
  <si>
    <t>M</t>
  </si>
  <si>
    <r>
      <t>select</t>
    </r>
    <r>
      <rPr>
        <sz val="7"/>
        <color rgb="FF212121"/>
        <rFont val="Consolas"/>
        <family val="3"/>
      </rPr>
      <t> NationalIDNumber,LoginID, JobTitle, gender</t>
    </r>
  </si>
  <si>
    <r>
      <t>and</t>
    </r>
    <r>
      <rPr>
        <sz val="7"/>
        <color rgb="FF212121"/>
        <rFont val="Consolas"/>
        <family val="3"/>
      </rPr>
      <t> jobtitle </t>
    </r>
    <r>
      <rPr>
        <sz val="7"/>
        <color rgb="FF0000FF"/>
        <rFont val="Consolas"/>
        <family val="3"/>
      </rPr>
      <t>like</t>
    </r>
    <r>
      <rPr>
        <sz val="7"/>
        <color rgb="FF212121"/>
        <rFont val="Consolas"/>
        <family val="3"/>
      </rPr>
      <t> </t>
    </r>
    <r>
      <rPr>
        <sz val="7"/>
        <color rgb="FFA31515"/>
        <rFont val="Consolas"/>
        <family val="3"/>
      </rPr>
      <t>'Production Technician%'</t>
    </r>
  </si>
  <si>
    <r>
      <t>and</t>
    </r>
    <r>
      <rPr>
        <sz val="7"/>
        <color rgb="FF212121"/>
        <rFont val="Consolas"/>
        <family val="3"/>
      </rPr>
      <t> MaritalStatus </t>
    </r>
    <r>
      <rPr>
        <sz val="7"/>
        <color rgb="FF000000"/>
        <rFont val="Consolas"/>
        <family val="3"/>
      </rPr>
      <t>=</t>
    </r>
    <r>
      <rPr>
        <sz val="7"/>
        <color rgb="FF212121"/>
        <rFont val="Consolas"/>
        <family val="3"/>
      </rPr>
      <t> </t>
    </r>
    <r>
      <rPr>
        <sz val="7"/>
        <color rgb="FFA31515"/>
        <rFont val="Consolas"/>
        <family val="3"/>
      </rPr>
      <t>'M'</t>
    </r>
  </si>
  <si>
    <r>
      <t>order by</t>
    </r>
    <r>
      <rPr>
        <sz val="7"/>
        <color rgb="FF212121"/>
        <rFont val="Consolas"/>
        <family val="3"/>
      </rPr>
      <t>  loginid</t>
    </r>
  </si>
  <si>
    <t>NationalIDNumber</t>
  </si>
  <si>
    <t>gender</t>
  </si>
  <si>
    <r>
      <t>  </t>
    </r>
    <r>
      <rPr>
        <sz val="7"/>
        <color rgb="FF0000FF"/>
        <rFont val="Consolas"/>
        <family val="3"/>
      </rPr>
      <t>select</t>
    </r>
    <r>
      <rPr>
        <sz val="7"/>
        <color rgb="FF212121"/>
        <rFont val="Consolas"/>
        <family val="3"/>
      </rPr>
      <t>   [SalesOrderID]</t>
    </r>
  </si>
  <si>
    <r>
      <t>  </t>
    </r>
    <r>
      <rPr>
        <sz val="7"/>
        <color rgb="FF0000FF"/>
        <rFont val="Consolas"/>
        <family val="3"/>
      </rPr>
      <t>from</t>
    </r>
    <r>
      <rPr>
        <sz val="7"/>
        <color rgb="FF212121"/>
        <rFont val="Consolas"/>
        <family val="3"/>
      </rPr>
      <t> sales.salesorderdetail </t>
    </r>
  </si>
  <si>
    <r>
      <t>    </t>
    </r>
    <r>
      <rPr>
        <sz val="7"/>
        <color rgb="FF0000FF"/>
        <rFont val="Consolas"/>
        <family val="3"/>
      </rPr>
      <t>where</t>
    </r>
    <r>
      <rPr>
        <sz val="7"/>
        <color rgb="FF212121"/>
        <rFont val="Consolas"/>
        <family val="3"/>
      </rPr>
      <t> productid </t>
    </r>
    <r>
      <rPr>
        <sz val="7"/>
        <color rgb="FF0000FF"/>
        <rFont val="Consolas"/>
        <family val="3"/>
      </rPr>
      <t>in</t>
    </r>
    <r>
      <rPr>
        <sz val="7"/>
        <color rgb="FF212121"/>
        <rFont val="Consolas"/>
        <family val="3"/>
      </rPr>
      <t> (</t>
    </r>
    <r>
      <rPr>
        <sz val="7"/>
        <color rgb="FF09885A"/>
        <rFont val="Consolas"/>
        <family val="3"/>
      </rPr>
      <t>915</t>
    </r>
    <r>
      <rPr>
        <sz val="7"/>
        <color rgb="FF212121"/>
        <rFont val="Consolas"/>
        <family val="3"/>
      </rPr>
      <t>, </t>
    </r>
    <r>
      <rPr>
        <sz val="7"/>
        <color rgb="FF09885A"/>
        <rFont val="Consolas"/>
        <family val="3"/>
      </rPr>
      <t>887</t>
    </r>
    <r>
      <rPr>
        <sz val="7"/>
        <color rgb="FF212121"/>
        <rFont val="Consolas"/>
        <family val="3"/>
      </rPr>
      <t>, </t>
    </r>
    <r>
      <rPr>
        <sz val="7"/>
        <color rgb="FF09885A"/>
        <rFont val="Consolas"/>
        <family val="3"/>
      </rPr>
      <t>946</t>
    </r>
    <r>
      <rPr>
        <sz val="7"/>
        <color rgb="FF212121"/>
        <rFont val="Consolas"/>
        <family val="3"/>
      </rPr>
      <t>,</t>
    </r>
    <r>
      <rPr>
        <sz val="7"/>
        <color rgb="FF09885A"/>
        <rFont val="Consolas"/>
        <family val="3"/>
      </rPr>
      <t>950</t>
    </r>
    <r>
      <rPr>
        <sz val="7"/>
        <color rgb="FF212121"/>
        <rFont val="Consolas"/>
        <family val="3"/>
      </rPr>
      <t>,</t>
    </r>
    <r>
      <rPr>
        <sz val="7"/>
        <color rgb="FF09885A"/>
        <rFont val="Consolas"/>
        <family val="3"/>
      </rPr>
      <t>911</t>
    </r>
    <r>
      <rPr>
        <sz val="7"/>
        <color rgb="FF212121"/>
        <rFont val="Consolas"/>
        <family val="3"/>
      </rPr>
      <t>)</t>
    </r>
  </si>
  <si>
    <t>INTERSECT</t>
  </si>
  <si>
    <r>
      <t>    </t>
    </r>
    <r>
      <rPr>
        <sz val="7"/>
        <color rgb="FF0000FF"/>
        <rFont val="Consolas"/>
        <family val="3"/>
      </rPr>
      <t>where</t>
    </r>
    <r>
      <rPr>
        <sz val="7"/>
        <color rgb="FF212121"/>
        <rFont val="Consolas"/>
        <family val="3"/>
      </rPr>
      <t> productid </t>
    </r>
    <r>
      <rPr>
        <sz val="7"/>
        <color rgb="FF0000FF"/>
        <rFont val="Consolas"/>
        <family val="3"/>
      </rPr>
      <t>in</t>
    </r>
    <r>
      <rPr>
        <sz val="7"/>
        <color rgb="FF212121"/>
        <rFont val="Consolas"/>
        <family val="3"/>
      </rPr>
      <t> (</t>
    </r>
    <r>
      <rPr>
        <sz val="7"/>
        <color rgb="FF09885A"/>
        <rFont val="Consolas"/>
        <family val="3"/>
      </rPr>
      <t>900</t>
    </r>
    <r>
      <rPr>
        <sz val="7"/>
        <color rgb="FF212121"/>
        <rFont val="Consolas"/>
        <family val="3"/>
      </rPr>
      <t>, </t>
    </r>
    <r>
      <rPr>
        <sz val="7"/>
        <color rgb="FF09885A"/>
        <rFont val="Consolas"/>
        <family val="3"/>
      </rPr>
      <t>806</t>
    </r>
    <r>
      <rPr>
        <sz val="7"/>
        <color rgb="FF212121"/>
        <rFont val="Consolas"/>
        <family val="3"/>
      </rPr>
      <t>, </t>
    </r>
    <r>
      <rPr>
        <sz val="7"/>
        <color rgb="FF09885A"/>
        <rFont val="Consolas"/>
        <family val="3"/>
      </rPr>
      <t>921</t>
    </r>
    <r>
      <rPr>
        <sz val="7"/>
        <color rgb="FF212121"/>
        <rFont val="Consolas"/>
        <family val="3"/>
      </rPr>
      <t>,</t>
    </r>
    <r>
      <rPr>
        <sz val="7"/>
        <color rgb="FF09885A"/>
        <rFont val="Consolas"/>
        <family val="3"/>
      </rPr>
      <t>711</t>
    </r>
    <r>
      <rPr>
        <sz val="7"/>
        <color rgb="FF212121"/>
        <rFont val="Consolas"/>
        <family val="3"/>
      </rPr>
      <t>, </t>
    </r>
    <r>
      <rPr>
        <sz val="7"/>
        <color rgb="FF09885A"/>
        <rFont val="Consolas"/>
        <family val="3"/>
      </rPr>
      <t>707</t>
    </r>
    <r>
      <rPr>
        <sz val="7"/>
        <color rgb="FF212121"/>
        <rFont val="Consolas"/>
        <family val="3"/>
      </rPr>
      <t>)</t>
    </r>
  </si>
  <si>
    <r>
      <t>order by</t>
    </r>
    <r>
      <rPr>
        <sz val="7"/>
        <color rgb="FF212121"/>
        <rFont val="Consolas"/>
        <family val="3"/>
      </rPr>
      <t> SalesOrderID</t>
    </r>
  </si>
  <si>
    <t>Cover Sheet - 1:1048576</t>
  </si>
  <si>
    <t>C89568B-C87-232C-3B5D-30205F3</t>
  </si>
  <si>
    <t>N</t>
  </si>
  <si>
    <t>production.product</t>
  </si>
  <si>
    <t>Version 1 answer was where shelf in('S','Y','V')</t>
  </si>
  <si>
    <r>
      <t>where</t>
    </r>
    <r>
      <rPr>
        <sz val="7"/>
        <color rgb="FF212121"/>
        <rFont val="Consolas"/>
        <family val="3"/>
      </rPr>
      <t> shelf </t>
    </r>
    <r>
      <rPr>
        <sz val="7"/>
        <color rgb="FF0000FF"/>
        <rFont val="Consolas"/>
        <family val="3"/>
      </rPr>
      <t>in</t>
    </r>
    <r>
      <rPr>
        <sz val="7"/>
        <color rgb="FF212121"/>
        <rFont val="Consolas"/>
        <family val="3"/>
      </rPr>
      <t>(</t>
    </r>
    <r>
      <rPr>
        <sz val="7"/>
        <color rgb="FFA31515"/>
        <rFont val="Consolas"/>
        <family val="3"/>
      </rPr>
      <t>'S'</t>
    </r>
    <r>
      <rPr>
        <sz val="7"/>
        <color rgb="FF212121"/>
        <rFont val="Consolas"/>
        <family val="3"/>
      </rPr>
      <t>,</t>
    </r>
    <r>
      <rPr>
        <sz val="7"/>
        <color rgb="FFA31515"/>
        <rFont val="Consolas"/>
        <family val="3"/>
      </rPr>
      <t>'Y'</t>
    </r>
    <r>
      <rPr>
        <sz val="7"/>
        <color rgb="FF212121"/>
        <rFont val="Consolas"/>
        <family val="3"/>
      </rPr>
      <t>,</t>
    </r>
    <r>
      <rPr>
        <sz val="7"/>
        <color rgb="FFA31515"/>
        <rFont val="Consolas"/>
        <family val="3"/>
      </rPr>
      <t>'N'</t>
    </r>
    <r>
      <rPr>
        <sz val="7"/>
        <color rgb="FF212121"/>
        <rFont val="Consolas"/>
        <family val="3"/>
      </rPr>
      <t>)</t>
    </r>
  </si>
  <si>
    <t>V 1 answer</t>
  </si>
  <si>
    <r>
      <t>and</t>
    </r>
    <r>
      <rPr>
        <sz val="7"/>
        <color rgb="FF212121"/>
        <rFont val="Consolas"/>
        <family val="3"/>
      </rPr>
      <t> ( color </t>
    </r>
    <r>
      <rPr>
        <sz val="7"/>
        <color rgb="FF0000FF"/>
        <rFont val="Consolas"/>
        <family val="3"/>
      </rPr>
      <t>in</t>
    </r>
    <r>
      <rPr>
        <sz val="7"/>
        <color rgb="FF212121"/>
        <rFont val="Consolas"/>
        <family val="3"/>
      </rPr>
      <t> (</t>
    </r>
    <r>
      <rPr>
        <sz val="7"/>
        <color rgb="FFA31515"/>
        <rFont val="Consolas"/>
        <family val="3"/>
      </rPr>
      <t>'Silver'</t>
    </r>
    <r>
      <rPr>
        <sz val="7"/>
        <color rgb="FF212121"/>
        <rFont val="Consolas"/>
        <family val="3"/>
      </rPr>
      <t> ,</t>
    </r>
    <r>
      <rPr>
        <sz val="7"/>
        <color rgb="FFA31515"/>
        <rFont val="Consolas"/>
        <family val="3"/>
      </rPr>
      <t>'Black'</t>
    </r>
    <r>
      <rPr>
        <sz val="7"/>
        <color rgb="FF212121"/>
        <rFont val="Consolas"/>
        <family val="3"/>
      </rPr>
      <t>) ) </t>
    </r>
  </si>
  <si>
    <t>HL Road Frame - Black, 44</t>
  </si>
  <si>
    <t>FR-R92B-44</t>
  </si>
  <si>
    <t>HL Road Frame - Black, 48</t>
  </si>
  <si>
    <t>FR-R92B-48</t>
  </si>
  <si>
    <t>HL Road Frame - Black, 52</t>
  </si>
  <si>
    <t>FR-R92B-52</t>
  </si>
  <si>
    <t>HL Road Frame - Black, 58</t>
  </si>
  <si>
    <t>FR-R92B-58</t>
  </si>
  <si>
    <t>HL Road Frame - Black, 62</t>
  </si>
  <si>
    <t>FR-R92B-62</t>
  </si>
  <si>
    <t>LL Road Frame - Black, 44</t>
  </si>
  <si>
    <t>FR-R38B-44</t>
  </si>
  <si>
    <t>LL Road Frame - Black, 48</t>
  </si>
  <si>
    <t>FR-R38B-48</t>
  </si>
  <si>
    <t>LL Road Frame - Black, 52</t>
  </si>
  <si>
    <t>FR-R38B-52</t>
  </si>
  <si>
    <t>LL Road Frame - Black, 58</t>
  </si>
  <si>
    <t>FR-R38B-58</t>
  </si>
  <si>
    <t>LL Road Frame - Black, 60</t>
  </si>
  <si>
    <t>FR-R38B-60</t>
  </si>
  <si>
    <t>LL Road Frame - Black, 62</t>
  </si>
  <si>
    <t>FR-R38B-62</t>
  </si>
  <si>
    <t>HL Mountain Frame - Black, 38</t>
  </si>
  <si>
    <t>FR-M94B-38</t>
  </si>
  <si>
    <t>HL Mountain Frame - Silver, 38</t>
  </si>
  <si>
    <t>FR-M94S-38</t>
  </si>
  <si>
    <t>HL Mountain Frame - Black, 42</t>
  </si>
  <si>
    <t>FR-M94B-42</t>
  </si>
  <si>
    <t>HL Mountain Frame - Silver, 42</t>
  </si>
  <si>
    <t>FR-M94S-42</t>
  </si>
  <si>
    <t>ML Mountain Frame - Black, 38</t>
  </si>
  <si>
    <t>FR-M63B-38</t>
  </si>
  <si>
    <t>ML Mountain Frame-W - Silver, 38</t>
  </si>
  <si>
    <t>FR-M63S-38</t>
  </si>
  <si>
    <t>HL Mountain Frame - Black, 44</t>
  </si>
  <si>
    <t>FR-M94B-44</t>
  </si>
  <si>
    <t>HL Mountain Frame - Silver, 44</t>
  </si>
  <si>
    <t>FR-M94S-44</t>
  </si>
  <si>
    <t>ML Mountain Frame - Black, 40</t>
  </si>
  <si>
    <t>FR-M63B-40</t>
  </si>
  <si>
    <t>ML Mountain Frame-W - Silver, 40</t>
  </si>
  <si>
    <t>FR-M63S-40</t>
  </si>
  <si>
    <t>HL Mountain Frame - Black, 48</t>
  </si>
  <si>
    <t>FR-M94B-48</t>
  </si>
  <si>
    <t>HL Mountain Frame - Silver, 48</t>
  </si>
  <si>
    <t>FR-M94S-52</t>
  </si>
  <si>
    <t>ML Mountain Frame - Black, 44</t>
  </si>
  <si>
    <t>FR-M63B-44</t>
  </si>
  <si>
    <t>ML Mountain Frame-W - Silver, 42</t>
  </si>
  <si>
    <t>FR-M63S-42</t>
  </si>
  <si>
    <t>HL Mountain Frame - Black, 46</t>
  </si>
  <si>
    <t>FR-M94B-46</t>
  </si>
  <si>
    <t>HL Mountain Frame - Silver, 46</t>
  </si>
  <si>
    <t>FR-M94S-46</t>
  </si>
  <si>
    <t>ML Mountain Frame - Black, 48</t>
  </si>
  <si>
    <t>FR-M63B-48</t>
  </si>
  <si>
    <t>ML Mountain Frame-W - Silver, 46</t>
  </si>
  <si>
    <t>FR-M63S-46</t>
  </si>
  <si>
    <t>LL Mountain Frame - Black, 40</t>
  </si>
  <si>
    <t>FR-M21B-40</t>
  </si>
  <si>
    <t>LL Mountain Frame - Silver, 40</t>
  </si>
  <si>
    <t>FR-M21S-40</t>
  </si>
  <si>
    <t>LL Mountain Frame - Black, 42</t>
  </si>
  <si>
    <t>FR-M21B-42</t>
  </si>
  <si>
    <t>LL Mountain Frame - Silver, 42</t>
  </si>
  <si>
    <t>FR-M21S-42</t>
  </si>
  <si>
    <t>LL Mountain Frame - Black, 44</t>
  </si>
  <si>
    <t>FR-M21B-44</t>
  </si>
  <si>
    <t>LL Mountain Frame - Silver, 44</t>
  </si>
  <si>
    <t>FR-M21S-44</t>
  </si>
  <si>
    <t>LL Mountain Frame - Black, 48</t>
  </si>
  <si>
    <t>FR-M21B-48</t>
  </si>
  <si>
    <t>LL Mountain Frame - Silver, 48</t>
  </si>
  <si>
    <t>FR-M21S-48</t>
  </si>
  <si>
    <t>LL Mountain Frame - Black, 52</t>
  </si>
  <si>
    <t>FR-M21B-52</t>
  </si>
  <si>
    <t>LL Mountain Frame - Silver, 52</t>
  </si>
  <si>
    <t>FR-M21S-52</t>
  </si>
  <si>
    <t>Road-250 Black, 44</t>
  </si>
  <si>
    <t>BK-R89B-44</t>
  </si>
  <si>
    <t>Road-250 Black, 48</t>
  </si>
  <si>
    <t>BK-R89B-48</t>
  </si>
  <si>
    <t>Road-250 Black, 52</t>
  </si>
  <si>
    <t>BK-R89B-52</t>
  </si>
  <si>
    <t>Road-250 Black, 58</t>
  </si>
  <si>
    <t>BK-R89B-58</t>
  </si>
  <si>
    <t>Road-650 Black, 44</t>
  </si>
  <si>
    <t>BK-R50B-44</t>
  </si>
  <si>
    <t>Road-650 Black, 48</t>
  </si>
  <si>
    <t>BK-R50B-48</t>
  </si>
  <si>
    <t>Road-650 Black, 52</t>
  </si>
  <si>
    <t>BK-R50B-52</t>
  </si>
  <si>
    <t>Road-750 Black, 44</t>
  </si>
  <si>
    <t>BK-R19B-44</t>
  </si>
  <si>
    <t>Road-650 Black, 58</t>
  </si>
  <si>
    <t>BK-R50B-58</t>
  </si>
  <si>
    <t>Road-650 Black, 60</t>
  </si>
  <si>
    <t>BK-R50B-60</t>
  </si>
  <si>
    <t>Road-650 Black, 62</t>
  </si>
  <si>
    <t>BK-R50B-62</t>
  </si>
  <si>
    <t>Road-750 Black, 48</t>
  </si>
  <si>
    <t>BK-R19B-48</t>
  </si>
  <si>
    <t>Mountain-100 Black, 38</t>
  </si>
  <si>
    <t>BK-M82B-38</t>
  </si>
  <si>
    <t>Mountain-100 Silver, 38</t>
  </si>
  <si>
    <t>BK-M82S-38</t>
  </si>
  <si>
    <t>Road-750 Black, 52</t>
  </si>
  <si>
    <t>BK-R19B-52</t>
  </si>
  <si>
    <t>Mountain-100 Black, 42</t>
  </si>
  <si>
    <t>BK-M82B-42</t>
  </si>
  <si>
    <t>Mountain-100 Silver, 42</t>
  </si>
  <si>
    <t>BK-M82S-42</t>
  </si>
  <si>
    <t>Road-750 Black, 58</t>
  </si>
  <si>
    <t>BK-R19B-58</t>
  </si>
  <si>
    <t>Mountain-100 Black, 44</t>
  </si>
  <si>
    <t>BK-M82B-44</t>
  </si>
  <si>
    <t>Mountain-100 Silver, 44</t>
  </si>
  <si>
    <t>BK-M82S-44</t>
  </si>
  <si>
    <t>Mountain-100 Black, 48</t>
  </si>
  <si>
    <t>BK-M82B-48</t>
  </si>
  <si>
    <t>Mountain-100 Silver, 48</t>
  </si>
  <si>
    <t>BK-M82S-48</t>
  </si>
  <si>
    <t>Mountain-200 Black, 38</t>
  </si>
  <si>
    <t>BK-M68B-38</t>
  </si>
  <si>
    <t>Mountain-200 Silver, 38</t>
  </si>
  <si>
    <t>BK-M68S-38</t>
  </si>
  <si>
    <t>Mountain-200 Black, 42</t>
  </si>
  <si>
    <t>BK-M68B-42</t>
  </si>
  <si>
    <t>Mountain-200 Silver, 42</t>
  </si>
  <si>
    <t>BK-M68S-42</t>
  </si>
  <si>
    <t>Mountain-200 Black, 46</t>
  </si>
  <si>
    <t>BK-M68B-46</t>
  </si>
  <si>
    <t>Mountain-200 Silver, 46</t>
  </si>
  <si>
    <t>BK-M68S-46</t>
  </si>
  <si>
    <t>Mountain-300 Black, 38</t>
  </si>
  <si>
    <t>BK-M47B-38</t>
  </si>
  <si>
    <t>Mountain-300 Black, 40</t>
  </si>
  <si>
    <t>BK-M47B-40</t>
  </si>
  <si>
    <t>Mountain-300 Black, 44</t>
  </si>
  <si>
    <t>BK-M47B-44</t>
  </si>
  <si>
    <t>Mountain-400-W Silver, 38</t>
  </si>
  <si>
    <t>BK-M38S-38</t>
  </si>
  <si>
    <t>Mountain-300 Black, 48</t>
  </si>
  <si>
    <t>BK-M47B-48</t>
  </si>
  <si>
    <t>Mountain-400-W Silver, 40</t>
  </si>
  <si>
    <t>BK-M38S-40</t>
  </si>
  <si>
    <t>Mountain-400-W Silver, 42</t>
  </si>
  <si>
    <t>BK-M38S-42</t>
  </si>
  <si>
    <t>Mountain-500 Black, 40</t>
  </si>
  <si>
    <t>BK-M18B-40</t>
  </si>
  <si>
    <t>Mountain-500 Silver, 40</t>
  </si>
  <si>
    <t>BK-M18S-40</t>
  </si>
  <si>
    <t>Mountain-400-W Silver, 46</t>
  </si>
  <si>
    <t>BK-M38S-46</t>
  </si>
  <si>
    <t>Mountain-500 Black, 42</t>
  </si>
  <si>
    <t>BK-M18B-42</t>
  </si>
  <si>
    <t>Mountain-500 Silver, 42</t>
  </si>
  <si>
    <t>BK-M18S-42</t>
  </si>
  <si>
    <t>Mountain-500 Black, 44</t>
  </si>
  <si>
    <t>BK-M18B-44</t>
  </si>
  <si>
    <t>Mountain-500 Silver, 44</t>
  </si>
  <si>
    <t>BK-M18S-44</t>
  </si>
  <si>
    <t>Mountain-500 Black, 48</t>
  </si>
  <si>
    <t>BK-M18B-48</t>
  </si>
  <si>
    <t>Mountain-500 Silver, 48</t>
  </si>
  <si>
    <t>BK-M18S-48</t>
  </si>
  <si>
    <t>Mountain-500 Black, 52</t>
  </si>
  <si>
    <t>BK-M18B-52</t>
  </si>
  <si>
    <t>Mountain-500 Silver, 52</t>
  </si>
  <si>
    <t>BK-M18S-52</t>
  </si>
  <si>
    <r>
      <t>where</t>
    </r>
    <r>
      <rPr>
        <sz val="7"/>
        <color rgb="FF212121"/>
        <rFont val="Consolas"/>
        <family val="3"/>
      </rPr>
      <t> color </t>
    </r>
    <r>
      <rPr>
        <sz val="7"/>
        <color rgb="FF0000FF"/>
        <rFont val="Consolas"/>
        <family val="3"/>
      </rPr>
      <t>in ('Silver/Black','Silver')</t>
    </r>
  </si>
  <si>
    <t>List a product name, number, color for products with a color of either Silber/black or silver but are not associated to a class (class is null).  Order the result set alphabetically by product number,</t>
  </si>
  <si>
    <t>Touring Pedal</t>
  </si>
  <si>
    <t>PD-T852</t>
  </si>
  <si>
    <t xml:space="preserve">V1 was </t>
  </si>
  <si>
    <t>where (orderdate between '2011-12-14' and '2011-12-26')</t>
  </si>
  <si>
    <r>
      <t>where</t>
    </r>
    <r>
      <rPr>
        <sz val="7"/>
        <color rgb="FF212121"/>
        <rFont val="Consolas"/>
        <family val="3"/>
      </rPr>
      <t> (orderdate </t>
    </r>
    <r>
      <rPr>
        <sz val="7"/>
        <color rgb="FF0000FF"/>
        <rFont val="Consolas"/>
        <family val="3"/>
      </rPr>
      <t>between</t>
    </r>
    <r>
      <rPr>
        <sz val="7"/>
        <color rgb="FF212121"/>
        <rFont val="Consolas"/>
        <family val="3"/>
      </rPr>
      <t> </t>
    </r>
    <r>
      <rPr>
        <sz val="7"/>
        <color rgb="FFA31515"/>
        <rFont val="Consolas"/>
        <family val="3"/>
      </rPr>
      <t>'2012-11-14'</t>
    </r>
    <r>
      <rPr>
        <sz val="7"/>
        <color rgb="FF212121"/>
        <rFont val="Consolas"/>
        <family val="3"/>
      </rPr>
      <t> </t>
    </r>
    <r>
      <rPr>
        <sz val="7"/>
        <color rgb="FF0000FF"/>
        <rFont val="Consolas"/>
        <family val="3"/>
      </rPr>
      <t>and</t>
    </r>
    <r>
      <rPr>
        <sz val="7"/>
        <color rgb="FF212121"/>
        <rFont val="Consolas"/>
        <family val="3"/>
      </rPr>
      <t> </t>
    </r>
    <r>
      <rPr>
        <sz val="7"/>
        <color rgb="FFA31515"/>
        <rFont val="Consolas"/>
        <family val="3"/>
      </rPr>
      <t>'2012-11-26'</t>
    </r>
    <r>
      <rPr>
        <sz val="7"/>
        <color rgb="FF212121"/>
        <rFont val="Consolas"/>
        <family val="3"/>
      </rPr>
      <t>)</t>
    </r>
  </si>
  <si>
    <t xml:space="preserve">List the sale order id, order date, customer id and territory id for territories 6,7,8 and 10.  Inlcude orders from November 14, 2012 until Novmber 26, 2012.   Order your result set by sales order id. </t>
  </si>
  <si>
    <t>purchasing.vendor</t>
  </si>
  <si>
    <t xml:space="preserve">Return a result set of a "active" vendors accountnumber, name, creditrating and purchasing Web Service URL  that have the string ".com" in the URL.  Ensure only active vendors are in the list and order the result set by account number alphabetically.  </t>
  </si>
  <si>
    <t>V1 question did not ask for creditrating</t>
  </si>
  <si>
    <t>CreditRating</t>
  </si>
  <si>
    <t>adventure-works\alex0</t>
  </si>
  <si>
    <t>Production Technician - WC45</t>
  </si>
  <si>
    <t>adventure-works\andy0</t>
  </si>
  <si>
    <t>Production Technician - WC30</t>
  </si>
  <si>
    <t>adventure-works\barbara0</t>
  </si>
  <si>
    <t>adventure-works\brandon0</t>
  </si>
  <si>
    <t>adventure-works\britta0</t>
  </si>
  <si>
    <t>adventure-works\carol0</t>
  </si>
  <si>
    <t>adventure-works\chad0</t>
  </si>
  <si>
    <t>Production Technician - WC50</t>
  </si>
  <si>
    <t>adventure-works\chris0</t>
  </si>
  <si>
    <t>adventure-works\david7</t>
  </si>
  <si>
    <t>adventure-works\denise0</t>
  </si>
  <si>
    <t>adventure-works\don0</t>
  </si>
  <si>
    <t>adventure-works\elizabeth0</t>
  </si>
  <si>
    <t>adventure-works\frank0</t>
  </si>
  <si>
    <t>adventure-works\gabe0</t>
  </si>
  <si>
    <t>adventure-works\houman0</t>
  </si>
  <si>
    <t>adventure-works\john2</t>
  </si>
  <si>
    <t>adventure-works\jose0</t>
  </si>
  <si>
    <t>adventure-works\kathie0</t>
  </si>
  <si>
    <t>adventure-works\ken1</t>
  </si>
  <si>
    <t>adventure-works\lane0</t>
  </si>
  <si>
    <t>adventure-works\lolan0</t>
  </si>
  <si>
    <t>adventure-works\lorraine0</t>
  </si>
  <si>
    <t>adventure-works\marc0</t>
  </si>
  <si>
    <t>adventure-works\margie0</t>
  </si>
  <si>
    <t>adventure-works\merav0</t>
  </si>
  <si>
    <t>adventure-works\michael5</t>
  </si>
  <si>
    <t>adventure-works\mindaugas0</t>
  </si>
  <si>
    <t>adventure-works\nancy0</t>
  </si>
  <si>
    <t>adventure-works\nicole0</t>
  </si>
  <si>
    <t>adventure-works\paul1</t>
  </si>
  <si>
    <t>adventure-works\paula1</t>
  </si>
  <si>
    <t>adventure-works\reed0</t>
  </si>
  <si>
    <t>adventure-works\rostislav0</t>
  </si>
  <si>
    <t>adventure-works\russell1</t>
  </si>
  <si>
    <t>adventure-works\ryan0</t>
  </si>
  <si>
    <t>adventure-works\samantha0</t>
  </si>
  <si>
    <t>adventure-works\sameer0</t>
  </si>
  <si>
    <t>adventure-works\scott0</t>
  </si>
  <si>
    <t>adventure-works\suchitra0</t>
  </si>
  <si>
    <t>adventure-works\thomas0</t>
  </si>
  <si>
    <t>[HumanResources].[Employee]</t>
  </si>
  <si>
    <t>where  hiredate between '2010-01-01' and '2010-04-30'</t>
  </si>
  <si>
    <t xml:space="preserve">previous lab was </t>
  </si>
  <si>
    <r>
      <t>where</t>
    </r>
    <r>
      <rPr>
        <sz val="7"/>
        <color rgb="FF212121"/>
        <rFont val="Consolas"/>
        <family val="3"/>
      </rPr>
      <t>  hiredate </t>
    </r>
    <r>
      <rPr>
        <sz val="7"/>
        <color rgb="FF0000FF"/>
        <rFont val="Consolas"/>
        <family val="3"/>
      </rPr>
      <t>between</t>
    </r>
    <r>
      <rPr>
        <sz val="7"/>
        <color rgb="FF212121"/>
        <rFont val="Consolas"/>
        <family val="3"/>
      </rPr>
      <t> </t>
    </r>
    <r>
      <rPr>
        <sz val="7"/>
        <color rgb="FFA31515"/>
        <rFont val="Consolas"/>
        <family val="3"/>
      </rPr>
      <t>'2009-01-01'</t>
    </r>
    <r>
      <rPr>
        <sz val="7"/>
        <color rgb="FF212121"/>
        <rFont val="Consolas"/>
        <family val="3"/>
      </rPr>
      <t> </t>
    </r>
    <r>
      <rPr>
        <sz val="7"/>
        <color rgb="FF0000FF"/>
        <rFont val="Consolas"/>
        <family val="3"/>
      </rPr>
      <t>and</t>
    </r>
    <r>
      <rPr>
        <sz val="7"/>
        <color rgb="FF212121"/>
        <rFont val="Consolas"/>
        <family val="3"/>
      </rPr>
      <t> </t>
    </r>
    <r>
      <rPr>
        <sz val="7"/>
        <color rgb="FFA31515"/>
        <rFont val="Consolas"/>
        <family val="3"/>
      </rPr>
      <t>'2009-04-30'</t>
    </r>
  </si>
  <si>
    <t xml:space="preserve">List an Employees NationalID, Login Id, Job Title and gender for all levels of married Production Technicians for the hire dates from January 1, 2009 until April 09, 2009.  The result set should be order by login id alphabeticlly.  </t>
  </si>
  <si>
    <t>dropped 911 and 707 from previous lab</t>
  </si>
  <si>
    <r>
      <t>    </t>
    </r>
    <r>
      <rPr>
        <sz val="7"/>
        <color rgb="FF0000FF"/>
        <rFont val="Consolas"/>
        <family val="3"/>
      </rPr>
      <t>where</t>
    </r>
    <r>
      <rPr>
        <sz val="7"/>
        <color rgb="FF212121"/>
        <rFont val="Consolas"/>
        <family val="3"/>
      </rPr>
      <t> productid </t>
    </r>
    <r>
      <rPr>
        <sz val="7"/>
        <color rgb="FF0000FF"/>
        <rFont val="Consolas"/>
        <family val="3"/>
      </rPr>
      <t>in</t>
    </r>
    <r>
      <rPr>
        <sz val="7"/>
        <color rgb="FF212121"/>
        <rFont val="Consolas"/>
        <family val="3"/>
      </rPr>
      <t> (</t>
    </r>
    <r>
      <rPr>
        <sz val="7"/>
        <color rgb="FF09885A"/>
        <rFont val="Consolas"/>
        <family val="3"/>
      </rPr>
      <t>915</t>
    </r>
    <r>
      <rPr>
        <sz val="7"/>
        <color rgb="FF212121"/>
        <rFont val="Consolas"/>
        <family val="3"/>
      </rPr>
      <t>, </t>
    </r>
    <r>
      <rPr>
        <sz val="7"/>
        <color rgb="FF09885A"/>
        <rFont val="Consolas"/>
        <family val="3"/>
      </rPr>
      <t>887</t>
    </r>
    <r>
      <rPr>
        <sz val="7"/>
        <color rgb="FF212121"/>
        <rFont val="Consolas"/>
        <family val="3"/>
      </rPr>
      <t>, </t>
    </r>
    <r>
      <rPr>
        <sz val="7"/>
        <color rgb="FF09885A"/>
        <rFont val="Consolas"/>
        <family val="3"/>
      </rPr>
      <t>946</t>
    </r>
    <r>
      <rPr>
        <sz val="7"/>
        <color rgb="FF212121"/>
        <rFont val="Consolas"/>
        <family val="3"/>
      </rPr>
      <t>,</t>
    </r>
    <r>
      <rPr>
        <sz val="7"/>
        <color rgb="FF09885A"/>
        <rFont val="Consolas"/>
        <family val="3"/>
      </rPr>
      <t>950</t>
    </r>
    <r>
      <rPr>
        <sz val="7"/>
        <color rgb="FF212121"/>
        <rFont val="Consolas"/>
        <family val="3"/>
      </rPr>
      <t>)</t>
    </r>
  </si>
  <si>
    <r>
      <t>    </t>
    </r>
    <r>
      <rPr>
        <sz val="7"/>
        <color rgb="FF0000FF"/>
        <rFont val="Consolas"/>
        <family val="3"/>
      </rPr>
      <t>where</t>
    </r>
    <r>
      <rPr>
        <sz val="7"/>
        <color rgb="FF212121"/>
        <rFont val="Consolas"/>
        <family val="3"/>
      </rPr>
      <t> productid </t>
    </r>
    <r>
      <rPr>
        <sz val="7"/>
        <color rgb="FF0000FF"/>
        <rFont val="Consolas"/>
        <family val="3"/>
      </rPr>
      <t>in</t>
    </r>
    <r>
      <rPr>
        <sz val="7"/>
        <color rgb="FF212121"/>
        <rFont val="Consolas"/>
        <family val="3"/>
      </rPr>
      <t> (</t>
    </r>
    <r>
      <rPr>
        <sz val="7"/>
        <color rgb="FF09885A"/>
        <rFont val="Consolas"/>
        <family val="3"/>
      </rPr>
      <t>900</t>
    </r>
    <r>
      <rPr>
        <sz val="7"/>
        <color rgb="FF212121"/>
        <rFont val="Consolas"/>
        <family val="3"/>
      </rPr>
      <t>, </t>
    </r>
    <r>
      <rPr>
        <sz val="7"/>
        <color rgb="FF09885A"/>
        <rFont val="Consolas"/>
        <family val="3"/>
      </rPr>
      <t>806</t>
    </r>
    <r>
      <rPr>
        <sz val="7"/>
        <color rgb="FF212121"/>
        <rFont val="Consolas"/>
        <family val="3"/>
      </rPr>
      <t>, </t>
    </r>
    <r>
      <rPr>
        <sz val="7"/>
        <color rgb="FF09885A"/>
        <rFont val="Consolas"/>
        <family val="3"/>
      </rPr>
      <t>921</t>
    </r>
    <r>
      <rPr>
        <sz val="7"/>
        <color rgb="FF212121"/>
        <rFont val="Consolas"/>
        <family val="3"/>
      </rPr>
      <t>,</t>
    </r>
    <r>
      <rPr>
        <sz val="7"/>
        <color rgb="FF09885A"/>
        <rFont val="Consolas"/>
        <family val="3"/>
      </rPr>
      <t>711</t>
    </r>
    <r>
      <rPr>
        <sz val="7"/>
        <color rgb="FF212121"/>
        <rFont val="Consolas"/>
        <family val="3"/>
      </rPr>
      <t>)</t>
    </r>
  </si>
  <si>
    <t xml:space="preserve">List the productID, locationID, quantity and shelf  in shelves S Y and N.   Order the result set by shelf  and  quantity descending.  </t>
  </si>
  <si>
    <t xml:space="preserve">List the products name, product number, color, class and weight for products with the colors Silver or Black.  Include only products that are 200 grams (G) or less.  Order the result set by name, then by lowest weight.  </t>
  </si>
  <si>
    <t xml:space="preserve">Extract a list from sales orders (sales order id only)for that contain at least one of product ids 915, 887, 946,950  that may have one of (instersect) product ids 900, 806, 921 and 711  on the same sales order.  Order the results set ascending by sales order id.  </t>
  </si>
  <si>
    <t>9ADA358-379C-1D1E-2B73-4B1F8D</t>
  </si>
  <si>
    <t>Cover Sheet - H11</t>
  </si>
  <si>
    <t>denni</t>
  </si>
  <si>
    <t>Cover Sheet - F28</t>
  </si>
  <si>
    <t>Chun Chiu</t>
  </si>
  <si>
    <t>Cover Sheet - H10</t>
  </si>
  <si>
    <t>Question1 - D6</t>
  </si>
  <si>
    <t>ProductID</t>
  </si>
  <si>
    <t>LocationID</t>
  </si>
  <si>
    <t>Quantity</t>
  </si>
  <si>
    <t>Shelf</t>
  </si>
  <si>
    <t>Question1 - A5:D34</t>
  </si>
  <si>
    <t>Question1 - D3</t>
  </si>
  <si>
    <t>Question1 - D2</t>
  </si>
  <si>
    <r>
      <t>SELECT</t>
    </r>
    <r>
      <rPr>
        <sz val="9"/>
        <color rgb="FF212121"/>
        <rFont val="Consolas"/>
        <family val="3"/>
      </rPr>
      <t xml:space="preserve"> ProductID, LocationID, Quantity, Shelf</t>
    </r>
  </si>
  <si>
    <r>
      <t>From</t>
    </r>
    <r>
      <rPr>
        <sz val="9"/>
        <color rgb="FF212121"/>
        <rFont val="Consolas"/>
        <family val="3"/>
      </rPr>
      <t xml:space="preserve"> Production.ProductInventory</t>
    </r>
  </si>
  <si>
    <r>
      <t>WHERE</t>
    </r>
    <r>
      <rPr>
        <sz val="9"/>
        <color rgb="FF212121"/>
        <rFont val="Consolas"/>
        <family val="3"/>
      </rPr>
      <t xml:space="preserve"> Shelf </t>
    </r>
    <r>
      <rPr>
        <sz val="9"/>
        <color rgb="FF0000FF"/>
        <rFont val="Consolas"/>
        <family val="3"/>
      </rPr>
      <t>in</t>
    </r>
    <r>
      <rPr>
        <sz val="9"/>
        <color rgb="FF212121"/>
        <rFont val="Consolas"/>
        <family val="3"/>
      </rPr>
      <t xml:space="preserve"> (</t>
    </r>
    <r>
      <rPr>
        <sz val="9"/>
        <color rgb="FFA31515"/>
        <rFont val="Consolas"/>
        <family val="3"/>
      </rPr>
      <t>'S'</t>
    </r>
    <r>
      <rPr>
        <sz val="9"/>
        <color rgb="FF212121"/>
        <rFont val="Consolas"/>
        <family val="3"/>
      </rPr>
      <t xml:space="preserve">, </t>
    </r>
    <r>
      <rPr>
        <sz val="9"/>
        <color rgb="FFA31515"/>
        <rFont val="Consolas"/>
        <family val="3"/>
      </rPr>
      <t>'Y'</t>
    </r>
    <r>
      <rPr>
        <sz val="9"/>
        <color rgb="FF212121"/>
        <rFont val="Consolas"/>
        <family val="3"/>
      </rPr>
      <t xml:space="preserve">, </t>
    </r>
    <r>
      <rPr>
        <sz val="9"/>
        <color rgb="FFA31515"/>
        <rFont val="Consolas"/>
        <family val="3"/>
      </rPr>
      <t>'N'</t>
    </r>
    <r>
      <rPr>
        <sz val="9"/>
        <color rgb="FF212121"/>
        <rFont val="Consolas"/>
        <family val="3"/>
      </rPr>
      <t>)</t>
    </r>
  </si>
  <si>
    <r>
      <t>order by</t>
    </r>
    <r>
      <rPr>
        <sz val="9"/>
        <color rgb="FF212121"/>
        <rFont val="Consolas"/>
        <family val="3"/>
      </rPr>
      <t xml:space="preserve"> Shelf, Quantity</t>
    </r>
  </si>
  <si>
    <t>Question1 - L6:L9</t>
  </si>
  <si>
    <t>SELECT ProductID, LocationID, Quantity, Shelf</t>
  </si>
  <si>
    <t>Class</t>
  </si>
  <si>
    <t>NULL</t>
  </si>
  <si>
    <t>Question2 - A5:E91</t>
  </si>
  <si>
    <r>
      <t>SELECT</t>
    </r>
    <r>
      <rPr>
        <sz val="9"/>
        <color rgb="FF212121"/>
        <rFont val="Consolas"/>
        <family val="3"/>
      </rPr>
      <t xml:space="preserve"> </t>
    </r>
    <r>
      <rPr>
        <sz val="9"/>
        <color rgb="FF0000FF"/>
        <rFont val="Consolas"/>
        <family val="3"/>
      </rPr>
      <t>Name</t>
    </r>
    <r>
      <rPr>
        <sz val="9"/>
        <color rgb="FF212121"/>
        <rFont val="Consolas"/>
        <family val="3"/>
      </rPr>
      <t xml:space="preserve">, ProductNumber, Color, Class, </t>
    </r>
    <r>
      <rPr>
        <sz val="9"/>
        <color rgb="FF0000FF"/>
        <rFont val="Consolas"/>
        <family val="3"/>
      </rPr>
      <t>Weight</t>
    </r>
  </si>
  <si>
    <r>
      <t>From</t>
    </r>
    <r>
      <rPr>
        <sz val="9"/>
        <color rgb="FF212121"/>
        <rFont val="Consolas"/>
        <family val="3"/>
      </rPr>
      <t xml:space="preserve"> Production.Product</t>
    </r>
  </si>
  <si>
    <r>
      <t>WHERE</t>
    </r>
    <r>
      <rPr>
        <sz val="9"/>
        <color rgb="FF212121"/>
        <rFont val="Consolas"/>
        <family val="3"/>
      </rPr>
      <t xml:space="preserve"> Color </t>
    </r>
    <r>
      <rPr>
        <sz val="9"/>
        <color rgb="FF0000FF"/>
        <rFont val="Consolas"/>
        <family val="3"/>
      </rPr>
      <t>in</t>
    </r>
    <r>
      <rPr>
        <sz val="9"/>
        <color rgb="FF212121"/>
        <rFont val="Consolas"/>
        <family val="3"/>
      </rPr>
      <t xml:space="preserve"> (</t>
    </r>
    <r>
      <rPr>
        <sz val="9"/>
        <color rgb="FFA31515"/>
        <rFont val="Consolas"/>
        <family val="3"/>
      </rPr>
      <t>'Silver'</t>
    </r>
    <r>
      <rPr>
        <sz val="9"/>
        <color rgb="FF212121"/>
        <rFont val="Consolas"/>
        <family val="3"/>
      </rPr>
      <t xml:space="preserve">, </t>
    </r>
    <r>
      <rPr>
        <sz val="9"/>
        <color rgb="FFA31515"/>
        <rFont val="Consolas"/>
        <family val="3"/>
      </rPr>
      <t>'Black'</t>
    </r>
    <r>
      <rPr>
        <sz val="9"/>
        <color rgb="FF212121"/>
        <rFont val="Consolas"/>
        <family val="3"/>
      </rPr>
      <t>)</t>
    </r>
  </si>
  <si>
    <r>
      <t>and</t>
    </r>
    <r>
      <rPr>
        <sz val="9"/>
        <color rgb="FF212121"/>
        <rFont val="Consolas"/>
        <family val="3"/>
      </rPr>
      <t xml:space="preserve"> </t>
    </r>
    <r>
      <rPr>
        <sz val="9"/>
        <color rgb="FF0000FF"/>
        <rFont val="Consolas"/>
        <family val="3"/>
      </rPr>
      <t>Weight</t>
    </r>
    <r>
      <rPr>
        <sz val="9"/>
        <color rgb="FF212121"/>
        <rFont val="Consolas"/>
        <family val="3"/>
      </rPr>
      <t xml:space="preserve"> </t>
    </r>
    <r>
      <rPr>
        <sz val="9"/>
        <color rgb="FF000000"/>
        <rFont val="Consolas"/>
        <family val="3"/>
      </rPr>
      <t>&lt;=</t>
    </r>
    <r>
      <rPr>
        <sz val="9"/>
        <color rgb="FF212121"/>
        <rFont val="Consolas"/>
        <family val="3"/>
      </rPr>
      <t xml:space="preserve"> </t>
    </r>
    <r>
      <rPr>
        <sz val="9"/>
        <color rgb="FF09885A"/>
        <rFont val="Consolas"/>
        <family val="3"/>
      </rPr>
      <t>200</t>
    </r>
  </si>
  <si>
    <r>
      <t>ORDER by</t>
    </r>
    <r>
      <rPr>
        <sz val="9"/>
        <color rgb="FF212121"/>
        <rFont val="Consolas"/>
        <family val="3"/>
      </rPr>
      <t xml:space="preserve"> </t>
    </r>
    <r>
      <rPr>
        <sz val="9"/>
        <color rgb="FF0000FF"/>
        <rFont val="Consolas"/>
        <family val="3"/>
      </rPr>
      <t>Name</t>
    </r>
    <r>
      <rPr>
        <sz val="9"/>
        <color rgb="FF212121"/>
        <rFont val="Consolas"/>
        <family val="3"/>
      </rPr>
      <t xml:space="preserve">, </t>
    </r>
    <r>
      <rPr>
        <sz val="9"/>
        <color rgb="FF0000FF"/>
        <rFont val="Consolas"/>
        <family val="3"/>
      </rPr>
      <t>Weight</t>
    </r>
  </si>
  <si>
    <t>Question2 - N3:N7</t>
  </si>
  <si>
    <t>SELECT Name, ProductNumber, Color, Class, Weight</t>
  </si>
  <si>
    <t>Question3 - A5:C19</t>
  </si>
  <si>
    <r>
      <t>SELECT</t>
    </r>
    <r>
      <rPr>
        <sz val="9"/>
        <color rgb="FF212121"/>
        <rFont val="Consolas"/>
        <family val="3"/>
      </rPr>
      <t xml:space="preserve"> </t>
    </r>
    <r>
      <rPr>
        <sz val="9"/>
        <color rgb="FF0000FF"/>
        <rFont val="Consolas"/>
        <family val="3"/>
      </rPr>
      <t>Name</t>
    </r>
    <r>
      <rPr>
        <sz val="9"/>
        <color rgb="FF212121"/>
        <rFont val="Consolas"/>
        <family val="3"/>
      </rPr>
      <t>, ProductNumber, Color</t>
    </r>
  </si>
  <si>
    <r>
      <t>WHERE</t>
    </r>
    <r>
      <rPr>
        <sz val="9"/>
        <color rgb="FF212121"/>
        <rFont val="Consolas"/>
        <family val="3"/>
      </rPr>
      <t xml:space="preserve"> Color </t>
    </r>
    <r>
      <rPr>
        <sz val="9"/>
        <color rgb="FF0000FF"/>
        <rFont val="Consolas"/>
        <family val="3"/>
      </rPr>
      <t>in</t>
    </r>
    <r>
      <rPr>
        <sz val="9"/>
        <color rgb="FF212121"/>
        <rFont val="Consolas"/>
        <family val="3"/>
      </rPr>
      <t xml:space="preserve"> (</t>
    </r>
    <r>
      <rPr>
        <sz val="9"/>
        <color rgb="FFA31515"/>
        <rFont val="Consolas"/>
        <family val="3"/>
      </rPr>
      <t>'Silver/Black'</t>
    </r>
    <r>
      <rPr>
        <sz val="9"/>
        <color rgb="FF212121"/>
        <rFont val="Consolas"/>
        <family val="3"/>
      </rPr>
      <t xml:space="preserve">, </t>
    </r>
    <r>
      <rPr>
        <sz val="9"/>
        <color rgb="FFA31515"/>
        <rFont val="Consolas"/>
        <family val="3"/>
      </rPr>
      <t>'Silver'</t>
    </r>
    <r>
      <rPr>
        <sz val="9"/>
        <color rgb="FF212121"/>
        <rFont val="Consolas"/>
        <family val="3"/>
      </rPr>
      <t>)</t>
    </r>
  </si>
  <si>
    <r>
      <t>and</t>
    </r>
    <r>
      <rPr>
        <sz val="9"/>
        <color rgb="FF212121"/>
        <rFont val="Consolas"/>
        <family val="3"/>
      </rPr>
      <t xml:space="preserve"> Class </t>
    </r>
    <r>
      <rPr>
        <sz val="9"/>
        <color rgb="FF0000FF"/>
        <rFont val="Consolas"/>
        <family val="3"/>
      </rPr>
      <t>is</t>
    </r>
    <r>
      <rPr>
        <sz val="9"/>
        <color rgb="FF212121"/>
        <rFont val="Consolas"/>
        <family val="3"/>
      </rPr>
      <t xml:space="preserve"> </t>
    </r>
    <r>
      <rPr>
        <sz val="9"/>
        <color rgb="FF0000FF"/>
        <rFont val="Consolas"/>
        <family val="3"/>
      </rPr>
      <t>NULL</t>
    </r>
  </si>
  <si>
    <r>
      <t>ORDER by</t>
    </r>
    <r>
      <rPr>
        <sz val="9"/>
        <color rgb="FF212121"/>
        <rFont val="Consolas"/>
        <family val="3"/>
      </rPr>
      <t xml:space="preserve"> ProductNumber</t>
    </r>
  </si>
  <si>
    <t>Question3 - N3:N7</t>
  </si>
  <si>
    <t>SELECT Name, ProductNumber, Color</t>
  </si>
  <si>
    <t>Question4 - A5:D59</t>
  </si>
  <si>
    <r>
      <t>SELECT</t>
    </r>
    <r>
      <rPr>
        <sz val="9"/>
        <color rgb="FF212121"/>
        <rFont val="Consolas"/>
        <family val="3"/>
      </rPr>
      <t xml:space="preserve"> SalesOrderID, OrderDate, CustomerID, TerritoryID</t>
    </r>
  </si>
  <si>
    <r>
      <t>From</t>
    </r>
    <r>
      <rPr>
        <sz val="9"/>
        <color rgb="FF212121"/>
        <rFont val="Consolas"/>
        <family val="3"/>
      </rPr>
      <t xml:space="preserve"> Sales.SalesOrderHeader</t>
    </r>
  </si>
  <si>
    <r>
      <t>WHERE</t>
    </r>
    <r>
      <rPr>
        <sz val="9"/>
        <color rgb="FF212121"/>
        <rFont val="Consolas"/>
        <family val="3"/>
      </rPr>
      <t xml:space="preserve"> TerritoryID </t>
    </r>
    <r>
      <rPr>
        <sz val="9"/>
        <color rgb="FF0000FF"/>
        <rFont val="Consolas"/>
        <family val="3"/>
      </rPr>
      <t>in</t>
    </r>
    <r>
      <rPr>
        <sz val="9"/>
        <color rgb="FF212121"/>
        <rFont val="Consolas"/>
        <family val="3"/>
      </rPr>
      <t xml:space="preserve"> (</t>
    </r>
    <r>
      <rPr>
        <sz val="9"/>
        <color rgb="FFA31515"/>
        <rFont val="Consolas"/>
        <family val="3"/>
      </rPr>
      <t>'6'</t>
    </r>
    <r>
      <rPr>
        <sz val="9"/>
        <color rgb="FF212121"/>
        <rFont val="Consolas"/>
        <family val="3"/>
      </rPr>
      <t xml:space="preserve">, </t>
    </r>
    <r>
      <rPr>
        <sz val="9"/>
        <color rgb="FFA31515"/>
        <rFont val="Consolas"/>
        <family val="3"/>
      </rPr>
      <t>'7'</t>
    </r>
    <r>
      <rPr>
        <sz val="9"/>
        <color rgb="FF212121"/>
        <rFont val="Consolas"/>
        <family val="3"/>
      </rPr>
      <t xml:space="preserve">, </t>
    </r>
    <r>
      <rPr>
        <sz val="9"/>
        <color rgb="FFA31515"/>
        <rFont val="Consolas"/>
        <family val="3"/>
      </rPr>
      <t>'8'</t>
    </r>
    <r>
      <rPr>
        <sz val="9"/>
        <color rgb="FF212121"/>
        <rFont val="Consolas"/>
        <family val="3"/>
      </rPr>
      <t xml:space="preserve">, </t>
    </r>
    <r>
      <rPr>
        <sz val="9"/>
        <color rgb="FFA31515"/>
        <rFont val="Consolas"/>
        <family val="3"/>
      </rPr>
      <t>'10'</t>
    </r>
    <r>
      <rPr>
        <sz val="9"/>
        <color rgb="FF212121"/>
        <rFont val="Consolas"/>
        <family val="3"/>
      </rPr>
      <t>)</t>
    </r>
  </si>
  <si>
    <r>
      <t>and</t>
    </r>
    <r>
      <rPr>
        <sz val="9"/>
        <color rgb="FF212121"/>
        <rFont val="Consolas"/>
        <family val="3"/>
      </rPr>
      <t xml:space="preserve"> OrderDate </t>
    </r>
    <r>
      <rPr>
        <sz val="9"/>
        <color rgb="FF0000FF"/>
        <rFont val="Consolas"/>
        <family val="3"/>
      </rPr>
      <t>BETWEEN</t>
    </r>
    <r>
      <rPr>
        <sz val="9"/>
        <color rgb="FF212121"/>
        <rFont val="Consolas"/>
        <family val="3"/>
      </rPr>
      <t xml:space="preserve"> </t>
    </r>
    <r>
      <rPr>
        <sz val="9"/>
        <color rgb="FFA31515"/>
        <rFont val="Consolas"/>
        <family val="3"/>
      </rPr>
      <t>'November 14, 2012'</t>
    </r>
    <r>
      <rPr>
        <sz val="9"/>
        <color rgb="FF212121"/>
        <rFont val="Consolas"/>
        <family val="3"/>
      </rPr>
      <t xml:space="preserve"> </t>
    </r>
    <r>
      <rPr>
        <sz val="9"/>
        <color rgb="FF0000FF"/>
        <rFont val="Consolas"/>
        <family val="3"/>
      </rPr>
      <t>and</t>
    </r>
    <r>
      <rPr>
        <sz val="9"/>
        <color rgb="FF212121"/>
        <rFont val="Consolas"/>
        <family val="3"/>
      </rPr>
      <t xml:space="preserve"> </t>
    </r>
    <r>
      <rPr>
        <sz val="9"/>
        <color rgb="FFA31515"/>
        <rFont val="Consolas"/>
        <family val="3"/>
      </rPr>
      <t>'November 26, 2012'</t>
    </r>
  </si>
  <si>
    <r>
      <t>ORDER by</t>
    </r>
    <r>
      <rPr>
        <sz val="9"/>
        <color rgb="FF212121"/>
        <rFont val="Consolas"/>
        <family val="3"/>
      </rPr>
      <t xml:space="preserve"> SalesOrderID</t>
    </r>
  </si>
  <si>
    <t>Question4 - N5:N9</t>
  </si>
  <si>
    <t>SELECT SalesOrderID, OrderDate, CustomerID, TerritoryID</t>
  </si>
  <si>
    <t>Question5 - A5:D9</t>
  </si>
  <si>
    <r>
      <t>SELECT</t>
    </r>
    <r>
      <rPr>
        <sz val="9"/>
        <color rgb="FF212121"/>
        <rFont val="Consolas"/>
        <family val="3"/>
      </rPr>
      <t xml:space="preserve"> AccountNumber, </t>
    </r>
    <r>
      <rPr>
        <sz val="9"/>
        <color rgb="FF0000FF"/>
        <rFont val="Consolas"/>
        <family val="3"/>
      </rPr>
      <t>Name</t>
    </r>
    <r>
      <rPr>
        <sz val="9"/>
        <color rgb="FF212121"/>
        <rFont val="Consolas"/>
        <family val="3"/>
      </rPr>
      <t>, CreditRating, PurchasingWebServiceURL</t>
    </r>
  </si>
  <si>
    <r>
      <t>from</t>
    </r>
    <r>
      <rPr>
        <sz val="9"/>
        <color rgb="FF212121"/>
        <rFont val="Consolas"/>
        <family val="3"/>
      </rPr>
      <t xml:space="preserve"> Purchasing.Vendor</t>
    </r>
  </si>
  <si>
    <r>
      <t>WHERE</t>
    </r>
    <r>
      <rPr>
        <sz val="9"/>
        <color rgb="FF212121"/>
        <rFont val="Consolas"/>
        <family val="3"/>
      </rPr>
      <t xml:space="preserve"> ActiveFlag </t>
    </r>
    <r>
      <rPr>
        <sz val="9"/>
        <color rgb="FF000000"/>
        <rFont val="Consolas"/>
        <family val="3"/>
      </rPr>
      <t>=</t>
    </r>
    <r>
      <rPr>
        <sz val="9"/>
        <color rgb="FF212121"/>
        <rFont val="Consolas"/>
        <family val="3"/>
      </rPr>
      <t xml:space="preserve"> </t>
    </r>
    <r>
      <rPr>
        <sz val="9"/>
        <color rgb="FF09885A"/>
        <rFont val="Consolas"/>
        <family val="3"/>
      </rPr>
      <t>1</t>
    </r>
  </si>
  <si>
    <r>
      <t>and</t>
    </r>
    <r>
      <rPr>
        <sz val="9"/>
        <color rgb="FF212121"/>
        <rFont val="Consolas"/>
        <family val="3"/>
      </rPr>
      <t xml:space="preserve"> PurchasingWebServiceURL </t>
    </r>
    <r>
      <rPr>
        <sz val="9"/>
        <color rgb="FF0000FF"/>
        <rFont val="Consolas"/>
        <family val="3"/>
      </rPr>
      <t>LIKE</t>
    </r>
    <r>
      <rPr>
        <sz val="9"/>
        <color rgb="FF212121"/>
        <rFont val="Consolas"/>
        <family val="3"/>
      </rPr>
      <t xml:space="preserve"> </t>
    </r>
    <r>
      <rPr>
        <sz val="9"/>
        <color rgb="FFA31515"/>
        <rFont val="Consolas"/>
        <family val="3"/>
      </rPr>
      <t>'%.com%'</t>
    </r>
  </si>
  <si>
    <r>
      <t>ORDER by</t>
    </r>
    <r>
      <rPr>
        <sz val="9"/>
        <color rgb="FF212121"/>
        <rFont val="Consolas"/>
        <family val="3"/>
      </rPr>
      <t xml:space="preserve"> AccountNumber</t>
    </r>
  </si>
  <si>
    <t>Question5 - J5:J9</t>
  </si>
  <si>
    <t>SELECT AccountNumber, Name, CreditRating, PurchasingWebServiceURL</t>
  </si>
  <si>
    <t>Gender</t>
  </si>
  <si>
    <t>adventure-works\alan0</t>
  </si>
  <si>
    <t>Scheduling Assistant</t>
  </si>
  <si>
    <t>adventure-works\andreas0</t>
  </si>
  <si>
    <t>Quality Assurance Technician</t>
  </si>
  <si>
    <t>adventure-works\arvind0</t>
  </si>
  <si>
    <t>Buyer</t>
  </si>
  <si>
    <t>adventure-works\barbara1</t>
  </si>
  <si>
    <t>Accountant</t>
  </si>
  <si>
    <t>adventure-works\brenda0</t>
  </si>
  <si>
    <t>Production Supervisor - WC40</t>
  </si>
  <si>
    <t>adventure-works\brian1</t>
  </si>
  <si>
    <t>adventure-works\chris1</t>
  </si>
  <si>
    <t>Control Specialist</t>
  </si>
  <si>
    <t>adventure-works\dan0</t>
  </si>
  <si>
    <t>Application Specialist</t>
  </si>
  <si>
    <t>adventure-works\dan1</t>
  </si>
  <si>
    <t>Database Administrator</t>
  </si>
  <si>
    <t>adventure-works\david6</t>
  </si>
  <si>
    <t>Accounts Manager</t>
  </si>
  <si>
    <t>adventure-works\dragan0</t>
  </si>
  <si>
    <t>Accounts Payable Specialist</t>
  </si>
  <si>
    <t>adventure-works\dylan0</t>
  </si>
  <si>
    <t>Research and Development Manager</t>
  </si>
  <si>
    <t>adventure-works\eric0</t>
  </si>
  <si>
    <t>Production Supervisor - WC20</t>
  </si>
  <si>
    <t>adventure-works\gigi0</t>
  </si>
  <si>
    <t>Research and Development Engineer</t>
  </si>
  <si>
    <t>adventure-works\janet0</t>
  </si>
  <si>
    <t>adventure-works\jeff0</t>
  </si>
  <si>
    <t>Production Supervisor - WC45</t>
  </si>
  <si>
    <t>adventure-works\jill0</t>
  </si>
  <si>
    <t>Marketing Specialist</t>
  </si>
  <si>
    <t>adventure-works\jimmy0</t>
  </si>
  <si>
    <t>Stocker</t>
  </si>
  <si>
    <t>adventure-works\karen0</t>
  </si>
  <si>
    <t>Document Control Assistant</t>
  </si>
  <si>
    <t>adventure-works\laura1</t>
  </si>
  <si>
    <t>Chief Financial Officer</t>
  </si>
  <si>
    <t>adventure-works\mary0</t>
  </si>
  <si>
    <t>adventure-works\matthias0</t>
  </si>
  <si>
    <t>Shipping and Receiving Clerk</t>
  </si>
  <si>
    <t>adventure-works\sairaj0</t>
  </si>
  <si>
    <t>adventure-works\terry0</t>
  </si>
  <si>
    <t>adventure-works\william0</t>
  </si>
  <si>
    <t>adventure-works\yuhong0</t>
  </si>
  <si>
    <t>adventure-works\zainal0</t>
  </si>
  <si>
    <t>Document Control Manager</t>
  </si>
  <si>
    <t>Question6 - A5:D72</t>
  </si>
  <si>
    <t>Question6 - A5</t>
  </si>
  <si>
    <r>
      <t>SELECT</t>
    </r>
    <r>
      <rPr>
        <sz val="9"/>
        <color rgb="FF212121"/>
        <rFont val="Consolas"/>
        <family val="3"/>
      </rPr>
      <t xml:space="preserve"> NationalIDNumber, LoginID, JobTitle, Gender</t>
    </r>
  </si>
  <si>
    <r>
      <t>from</t>
    </r>
    <r>
      <rPr>
        <sz val="9"/>
        <color rgb="FF212121"/>
        <rFont val="Consolas"/>
        <family val="3"/>
      </rPr>
      <t xml:space="preserve"> HumanResources.Employee</t>
    </r>
  </si>
  <si>
    <r>
      <t>WHERE</t>
    </r>
    <r>
      <rPr>
        <sz val="9"/>
        <color rgb="FF212121"/>
        <rFont val="Consolas"/>
        <family val="3"/>
      </rPr>
      <t xml:space="preserve"> MaritalStatus </t>
    </r>
    <r>
      <rPr>
        <sz val="9"/>
        <color rgb="FF000000"/>
        <rFont val="Consolas"/>
        <family val="3"/>
      </rPr>
      <t>=</t>
    </r>
    <r>
      <rPr>
        <sz val="9"/>
        <color rgb="FF212121"/>
        <rFont val="Consolas"/>
        <family val="3"/>
      </rPr>
      <t xml:space="preserve"> </t>
    </r>
    <r>
      <rPr>
        <sz val="9"/>
        <color rgb="FFA31515"/>
        <rFont val="Consolas"/>
        <family val="3"/>
      </rPr>
      <t>'M'</t>
    </r>
  </si>
  <si>
    <r>
      <t>and</t>
    </r>
    <r>
      <rPr>
        <sz val="9"/>
        <color rgb="FF212121"/>
        <rFont val="Consolas"/>
        <family val="3"/>
      </rPr>
      <t xml:space="preserve"> HireDate </t>
    </r>
    <r>
      <rPr>
        <sz val="9"/>
        <color rgb="FF0000FF"/>
        <rFont val="Consolas"/>
        <family val="3"/>
      </rPr>
      <t>BETWEEN</t>
    </r>
    <r>
      <rPr>
        <sz val="9"/>
        <color rgb="FF212121"/>
        <rFont val="Consolas"/>
        <family val="3"/>
      </rPr>
      <t xml:space="preserve"> </t>
    </r>
    <r>
      <rPr>
        <sz val="9"/>
        <color rgb="FFA31515"/>
        <rFont val="Consolas"/>
        <family val="3"/>
      </rPr>
      <t>'January 01, 2009'</t>
    </r>
    <r>
      <rPr>
        <sz val="9"/>
        <color rgb="FF212121"/>
        <rFont val="Consolas"/>
        <family val="3"/>
      </rPr>
      <t xml:space="preserve"> </t>
    </r>
    <r>
      <rPr>
        <sz val="9"/>
        <color rgb="FF0000FF"/>
        <rFont val="Consolas"/>
        <family val="3"/>
      </rPr>
      <t>and</t>
    </r>
    <r>
      <rPr>
        <sz val="9"/>
        <color rgb="FF212121"/>
        <rFont val="Consolas"/>
        <family val="3"/>
      </rPr>
      <t xml:space="preserve"> </t>
    </r>
    <r>
      <rPr>
        <sz val="9"/>
        <color rgb="FFA31515"/>
        <rFont val="Consolas"/>
        <family val="3"/>
      </rPr>
      <t>'April 09, 2009'</t>
    </r>
  </si>
  <si>
    <r>
      <t>order by</t>
    </r>
    <r>
      <rPr>
        <sz val="9"/>
        <color rgb="FF212121"/>
        <rFont val="Consolas"/>
        <family val="3"/>
      </rPr>
      <t xml:space="preserve"> LoginID</t>
    </r>
  </si>
  <si>
    <t>Question6 - N3:N7</t>
  </si>
  <si>
    <t>SELECT NationalIDNumber, LoginID, JobTitle, Gender</t>
  </si>
  <si>
    <t>Question7 - D6</t>
  </si>
  <si>
    <t>Question7 - A5:A58</t>
  </si>
  <si>
    <r>
      <t>SELECT Distinct</t>
    </r>
    <r>
      <rPr>
        <sz val="9"/>
        <color rgb="FF212121"/>
        <rFont val="Consolas"/>
        <family val="3"/>
      </rPr>
      <t xml:space="preserve"> SalesOrderID</t>
    </r>
  </si>
  <si>
    <r>
      <t>From</t>
    </r>
    <r>
      <rPr>
        <sz val="9"/>
        <color rgb="FF212121"/>
        <rFont val="Consolas"/>
        <family val="3"/>
      </rPr>
      <t xml:space="preserve"> Sales.SalesOrderDetail</t>
    </r>
  </si>
  <si>
    <r>
      <t>where</t>
    </r>
    <r>
      <rPr>
        <sz val="9"/>
        <color rgb="FF212121"/>
        <rFont val="Consolas"/>
        <family val="3"/>
      </rPr>
      <t xml:space="preserve"> ProductID </t>
    </r>
    <r>
      <rPr>
        <sz val="9"/>
        <color rgb="FF0000FF"/>
        <rFont val="Consolas"/>
        <family val="3"/>
      </rPr>
      <t>in</t>
    </r>
    <r>
      <rPr>
        <sz val="9"/>
        <color rgb="FF212121"/>
        <rFont val="Consolas"/>
        <family val="3"/>
      </rPr>
      <t xml:space="preserve"> (</t>
    </r>
    <r>
      <rPr>
        <sz val="9"/>
        <color rgb="FFA31515"/>
        <rFont val="Consolas"/>
        <family val="3"/>
      </rPr>
      <t>'915'</t>
    </r>
    <r>
      <rPr>
        <sz val="9"/>
        <color rgb="FF212121"/>
        <rFont val="Consolas"/>
        <family val="3"/>
      </rPr>
      <t xml:space="preserve">, </t>
    </r>
    <r>
      <rPr>
        <sz val="9"/>
        <color rgb="FFA31515"/>
        <rFont val="Consolas"/>
        <family val="3"/>
      </rPr>
      <t>'887'</t>
    </r>
    <r>
      <rPr>
        <sz val="9"/>
        <color rgb="FF212121"/>
        <rFont val="Consolas"/>
        <family val="3"/>
      </rPr>
      <t xml:space="preserve">, </t>
    </r>
    <r>
      <rPr>
        <sz val="9"/>
        <color rgb="FFA31515"/>
        <rFont val="Consolas"/>
        <family val="3"/>
      </rPr>
      <t>'946'</t>
    </r>
    <r>
      <rPr>
        <sz val="9"/>
        <color rgb="FF212121"/>
        <rFont val="Consolas"/>
        <family val="3"/>
      </rPr>
      <t xml:space="preserve">, </t>
    </r>
    <r>
      <rPr>
        <sz val="9"/>
        <color rgb="FFA31515"/>
        <rFont val="Consolas"/>
        <family val="3"/>
      </rPr>
      <t>'950'</t>
    </r>
    <r>
      <rPr>
        <sz val="9"/>
        <color rgb="FF212121"/>
        <rFont val="Consolas"/>
        <family val="3"/>
      </rPr>
      <t>)</t>
    </r>
  </si>
  <si>
    <r>
      <t>where</t>
    </r>
    <r>
      <rPr>
        <sz val="9"/>
        <color rgb="FF212121"/>
        <rFont val="Consolas"/>
        <family val="3"/>
      </rPr>
      <t xml:space="preserve"> ProductID </t>
    </r>
    <r>
      <rPr>
        <sz val="9"/>
        <color rgb="FF0000FF"/>
        <rFont val="Consolas"/>
        <family val="3"/>
      </rPr>
      <t>in</t>
    </r>
    <r>
      <rPr>
        <sz val="9"/>
        <color rgb="FF212121"/>
        <rFont val="Consolas"/>
        <family val="3"/>
      </rPr>
      <t xml:space="preserve"> (</t>
    </r>
    <r>
      <rPr>
        <sz val="9"/>
        <color rgb="FFA31515"/>
        <rFont val="Consolas"/>
        <family val="3"/>
      </rPr>
      <t>'900'</t>
    </r>
    <r>
      <rPr>
        <sz val="9"/>
        <color rgb="FF212121"/>
        <rFont val="Consolas"/>
        <family val="3"/>
      </rPr>
      <t xml:space="preserve">, </t>
    </r>
    <r>
      <rPr>
        <sz val="9"/>
        <color rgb="FFA31515"/>
        <rFont val="Consolas"/>
        <family val="3"/>
      </rPr>
      <t>'806'</t>
    </r>
    <r>
      <rPr>
        <sz val="9"/>
        <color rgb="FF212121"/>
        <rFont val="Consolas"/>
        <family val="3"/>
      </rPr>
      <t xml:space="preserve">, </t>
    </r>
    <r>
      <rPr>
        <sz val="9"/>
        <color rgb="FFA31515"/>
        <rFont val="Consolas"/>
        <family val="3"/>
      </rPr>
      <t>'921'</t>
    </r>
    <r>
      <rPr>
        <sz val="9"/>
        <color rgb="FF212121"/>
        <rFont val="Consolas"/>
        <family val="3"/>
      </rPr>
      <t xml:space="preserve">, </t>
    </r>
    <r>
      <rPr>
        <sz val="9"/>
        <color rgb="FFA31515"/>
        <rFont val="Consolas"/>
        <family val="3"/>
      </rPr>
      <t>'711'</t>
    </r>
    <r>
      <rPr>
        <sz val="9"/>
        <color rgb="FF212121"/>
        <rFont val="Consolas"/>
        <family val="3"/>
      </rPr>
      <t>)</t>
    </r>
  </si>
  <si>
    <t>Question7 - H6:H13</t>
  </si>
  <si>
    <t>SELECT Distinct SalesOrderID</t>
  </si>
  <si>
    <t>Question7 - A5</t>
  </si>
  <si>
    <t>Question7 - A6</t>
  </si>
  <si>
    <t>Question7 - A7</t>
  </si>
  <si>
    <t>Question7 - A8</t>
  </si>
  <si>
    <t>Question7 - A9</t>
  </si>
  <si>
    <t>Question7 - A10</t>
  </si>
  <si>
    <t>Question7 - A11</t>
  </si>
  <si>
    <t>Question7 - A12</t>
  </si>
  <si>
    <t>Question7 - A13</t>
  </si>
  <si>
    <t>Question7 - A14</t>
  </si>
  <si>
    <t>Question7 - A16</t>
  </si>
  <si>
    <t>Question7 - A15</t>
  </si>
  <si>
    <t>Question7 - A17</t>
  </si>
  <si>
    <t>Question7 - A18</t>
  </si>
  <si>
    <t>Question7 - A19</t>
  </si>
  <si>
    <t>Question7 - A58</t>
  </si>
  <si>
    <t>Question7 - A57</t>
  </si>
  <si>
    <t>Question7 - A56</t>
  </si>
  <si>
    <t>Question7 - A55</t>
  </si>
  <si>
    <t>Question7 - A54</t>
  </si>
  <si>
    <t>Question7 - A53</t>
  </si>
  <si>
    <t>Question7 - A52</t>
  </si>
  <si>
    <t>Question7 - A51</t>
  </si>
  <si>
    <t>Question7 - A50</t>
  </si>
  <si>
    <t>Question7 - A49</t>
  </si>
  <si>
    <t>Question7 - A48</t>
  </si>
  <si>
    <t>Question7 - A47</t>
  </si>
  <si>
    <t>Question7 - A46</t>
  </si>
  <si>
    <t>Question7 - A45</t>
  </si>
  <si>
    <t>Question7 - A44</t>
  </si>
  <si>
    <t>Question7 - A43</t>
  </si>
  <si>
    <t>Question7 - A42</t>
  </si>
  <si>
    <t>Question7 - A41</t>
  </si>
  <si>
    <t>Question7 - A40</t>
  </si>
  <si>
    <t>Question7 - A39</t>
  </si>
  <si>
    <t>Question7 - A38</t>
  </si>
  <si>
    <t>Question7 - A37</t>
  </si>
  <si>
    <t>Question7 - A36</t>
  </si>
  <si>
    <t>Question7 - A35</t>
  </si>
  <si>
    <t>Question7 - A34</t>
  </si>
  <si>
    <t>Question7 - A33</t>
  </si>
  <si>
    <t>Question7 - A32</t>
  </si>
  <si>
    <t>Question7 - A31</t>
  </si>
  <si>
    <t>Question7 - A30</t>
  </si>
  <si>
    <t>Question7 - A29</t>
  </si>
  <si>
    <t>Question7 - A28</t>
  </si>
  <si>
    <t>Question7 - A27</t>
  </si>
  <si>
    <t>Question7 - A26</t>
  </si>
  <si>
    <t>Question7 - A25</t>
  </si>
  <si>
    <t>Question7 - A24</t>
  </si>
  <si>
    <t>Question7 - A23</t>
  </si>
  <si>
    <t>Question7 - A22</t>
  </si>
  <si>
    <t>Question7 - A21</t>
  </si>
  <si>
    <t>Question7 - A20</t>
  </si>
  <si>
    <t>Question7 - A10:A12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</si>
</sst>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 #,##0.00_);_(* \(#,##0.00\);_(* &quot;-&quot;??_);_(@_)"/>
    <numFmt numFmtId="165" formatCode="_(* #,##0_);_(* \(#,##0\);_(* &quot;-&quot;??_);_(@_)"/>
    <numFmt numFmtId="166" formatCode="m/d/yy\ h:mm;@"/>
    <numFmt numFmtId="167" formatCode="_(* #,##0.0000_);_(* \(#,##0.0000\);_(* &quot;-&quot;??_);_(@_)"/>
    <numFmt numFmtId="168" formatCode="0.0"/>
    <numFmt numFmtId="169" formatCode="yyyy/mm/dd;@"/>
  </numFmts>
  <fonts count="27" x14ac:knownFonts="1">
    <font>
      <sz val="11"/>
      <color theme="1"/>
      <name val="Calibri"/>
      <family val="2"/>
      <scheme val="minor"/>
    </font>
    <font>
      <b/>
      <sz val="11"/>
      <color theme="1"/>
      <name val="Calibri"/>
      <family val="2"/>
      <scheme val="minor"/>
    </font>
    <font>
      <sz val="11"/>
      <color theme="1"/>
      <name val="Calibri"/>
      <family val="2"/>
      <scheme val="minor"/>
    </font>
    <font>
      <sz val="11"/>
      <name val="Calibri"/>
      <family val="2"/>
      <scheme val="minor"/>
    </font>
    <font>
      <sz val="10"/>
      <color rgb="FF000000"/>
      <name val="Times New Roman"/>
      <family val="1"/>
    </font>
    <font>
      <b/>
      <sz val="11"/>
      <name val="Calibri"/>
      <family val="2"/>
      <scheme val="minor"/>
    </font>
    <font>
      <b/>
      <sz val="15"/>
      <name val="Calibri"/>
      <family val="2"/>
      <scheme val="minor"/>
    </font>
    <font>
      <sz val="11"/>
      <name val="Symbol"/>
      <family val="1"/>
      <charset val="2"/>
    </font>
    <font>
      <sz val="7"/>
      <name val="Times New Roman"/>
      <family val="1"/>
    </font>
    <font>
      <b/>
      <sz val="11"/>
      <color theme="0"/>
      <name val="Calibri"/>
      <family val="2"/>
      <scheme val="minor"/>
    </font>
    <font>
      <sz val="11"/>
      <color theme="0"/>
      <name val="Calibri"/>
      <family val="2"/>
      <scheme val="minor"/>
    </font>
    <font>
      <b/>
      <sz val="11"/>
      <color rgb="FFFF0000"/>
      <name val="Calibri"/>
      <family val="2"/>
      <scheme val="minor"/>
    </font>
    <font>
      <sz val="11"/>
      <color rgb="FFFF0000"/>
      <name val="Calibri"/>
      <family val="2"/>
      <scheme val="minor"/>
    </font>
    <font>
      <b/>
      <sz val="14"/>
      <name val="Calibri"/>
      <family val="2"/>
      <scheme val="minor"/>
    </font>
    <font>
      <sz val="12"/>
      <color theme="1"/>
      <name val="Calibri"/>
      <family val="2"/>
      <scheme val="minor"/>
    </font>
    <font>
      <sz val="7"/>
      <color rgb="FF212121"/>
      <name val="Consolas"/>
      <family val="3"/>
    </font>
    <font>
      <sz val="7"/>
      <color rgb="FF0000FF"/>
      <name val="Consolas"/>
      <family val="3"/>
    </font>
    <font>
      <sz val="7"/>
      <color rgb="FF000000"/>
      <name val="Consolas"/>
      <family val="3"/>
    </font>
    <font>
      <sz val="7"/>
      <color rgb="FFA31515"/>
      <name val="Consolas"/>
      <family val="3"/>
    </font>
    <font>
      <sz val="7"/>
      <color rgb="FF09885A"/>
      <name val="Consolas"/>
      <family val="3"/>
    </font>
    <font>
      <sz val="10"/>
      <color theme="1"/>
      <name val="Calibri"/>
      <family val="2"/>
      <scheme val="minor"/>
    </font>
    <font>
      <sz val="9"/>
      <color rgb="FF212121"/>
      <name val="Consolas"/>
      <family val="3"/>
    </font>
    <font>
      <sz val="9"/>
      <color rgb="FF0000FF"/>
      <name val="Consolas"/>
      <family val="3"/>
    </font>
    <font>
      <sz val="9"/>
      <color rgb="FFA31515"/>
      <name val="Consolas"/>
      <family val="3"/>
    </font>
    <font>
      <sz val="9"/>
      <color rgb="FF000000"/>
      <name val="Consolas"/>
      <family val="3"/>
    </font>
    <font>
      <sz val="9"/>
      <color rgb="FF09885A"/>
      <name val="Consolas"/>
      <family val="3"/>
    </font>
    <font>
      <sz val="11"/>
      <color rgb="FF212121"/>
      <name val="Calibri"/>
      <family val="2"/>
      <scheme val="minor"/>
    </font>
  </fonts>
  <fills count="7">
    <fill>
      <patternFill patternType="none"/>
    </fill>
    <fill>
      <patternFill patternType="gray125"/>
    </fill>
    <fill>
      <patternFill patternType="solid">
        <fgColor theme="0"/>
        <bgColor indexed="64"/>
      </patternFill>
    </fill>
    <fill>
      <patternFill patternType="solid">
        <fgColor theme="8" tint="0.7999816888943144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s>
  <borders count="1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style="medium">
        <color indexed="64"/>
      </right>
      <top/>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theme="4" tint="0.39997558519241921"/>
      </left>
      <right/>
      <top style="thin">
        <color theme="4" tint="0.39997558519241921"/>
      </top>
      <bottom style="thin">
        <color theme="4" tint="0.39997558519241921"/>
      </bottom>
      <diagonal/>
    </border>
    <border>
      <left style="thin">
        <color auto="1"/>
      </left>
      <right/>
      <top/>
      <bottom/>
      <diagonal/>
    </border>
    <border>
      <left style="thin">
        <color auto="1"/>
      </left>
      <right/>
      <top/>
      <bottom style="thin">
        <color auto="1"/>
      </bottom>
      <diagonal/>
    </border>
    <border>
      <left style="thin">
        <color auto="1"/>
      </left>
      <right style="thin">
        <color auto="1"/>
      </right>
      <top/>
      <bottom style="thin">
        <color auto="1"/>
      </bottom>
      <diagonal/>
    </border>
  </borders>
  <cellStyleXfs count="4">
    <xf numFmtId="0" fontId="0" fillId="0" borderId="0"/>
    <xf numFmtId="164" fontId="2" fillId="0" borderId="0" applyFont="0" applyFill="0" applyBorder="0" applyAlignment="0" applyProtection="0"/>
    <xf numFmtId="0" fontId="2" fillId="0" borderId="0"/>
    <xf numFmtId="9" fontId="2" fillId="0" borderId="0" applyFont="0" applyFill="0" applyBorder="0" applyAlignment="0" applyProtection="0"/>
  </cellStyleXfs>
  <cellXfs count="135">
    <xf numFmtId="0" fontId="0" fillId="0" borderId="0" xfId="0"/>
    <xf numFmtId="0" fontId="2" fillId="0" borderId="0" xfId="2"/>
    <xf numFmtId="0" fontId="0" fillId="0" borderId="0" xfId="2" applyFont="1" applyFill="1"/>
    <xf numFmtId="0" fontId="0" fillId="0" borderId="0" xfId="2" applyFont="1"/>
    <xf numFmtId="0" fontId="2" fillId="0" borderId="0" xfId="2" applyFill="1"/>
    <xf numFmtId="0" fontId="1" fillId="0" borderId="0" xfId="0" applyFont="1"/>
    <xf numFmtId="166" fontId="0" fillId="0" borderId="0" xfId="0" applyNumberFormat="1"/>
    <xf numFmtId="1" fontId="0" fillId="0" borderId="0" xfId="0" applyNumberFormat="1"/>
    <xf numFmtId="0" fontId="4" fillId="2" borderId="12" xfId="0" applyFont="1" applyFill="1" applyBorder="1" applyAlignment="1">
      <alignment vertical="center"/>
    </xf>
    <xf numFmtId="0" fontId="4" fillId="2" borderId="12" xfId="0" applyFont="1" applyFill="1" applyBorder="1" applyAlignment="1">
      <alignment vertical="center" wrapText="1"/>
    </xf>
    <xf numFmtId="0" fontId="0" fillId="3" borderId="0" xfId="0" applyFill="1" applyAlignment="1"/>
    <xf numFmtId="0" fontId="3" fillId="2" borderId="0" xfId="0" applyFont="1" applyFill="1" applyBorder="1"/>
    <xf numFmtId="0" fontId="0" fillId="0" borderId="0" xfId="2" applyFont="1" applyBorder="1"/>
    <xf numFmtId="0" fontId="2" fillId="0" borderId="0" xfId="2" applyBorder="1"/>
    <xf numFmtId="0" fontId="0" fillId="3" borderId="0" xfId="2" applyFont="1" applyFill="1"/>
    <xf numFmtId="0" fontId="5" fillId="2" borderId="0" xfId="0" applyFont="1" applyFill="1" applyAlignment="1">
      <alignment horizontal="center" vertical="center"/>
    </xf>
    <xf numFmtId="0" fontId="3" fillId="2" borderId="0" xfId="0" applyFont="1" applyFill="1"/>
    <xf numFmtId="49" fontId="3" fillId="2" borderId="0" xfId="0" applyNumberFormat="1" applyFont="1" applyFill="1" applyProtection="1"/>
    <xf numFmtId="0" fontId="3" fillId="2" borderId="0" xfId="0" applyFont="1" applyFill="1" applyAlignment="1">
      <alignment horizontal="center" vertical="center"/>
    </xf>
    <xf numFmtId="0" fontId="6" fillId="2" borderId="0" xfId="0" applyFont="1" applyFill="1" applyAlignment="1">
      <alignment horizontal="center" vertical="center"/>
    </xf>
    <xf numFmtId="15" fontId="5" fillId="2" borderId="0" xfId="0" applyNumberFormat="1" applyFont="1" applyFill="1" applyAlignment="1">
      <alignment horizontal="center" vertical="center"/>
    </xf>
    <xf numFmtId="0" fontId="5" fillId="2" borderId="0" xfId="0" applyFont="1" applyFill="1" applyAlignment="1">
      <alignment vertical="center"/>
    </xf>
    <xf numFmtId="0" fontId="3" fillId="2" borderId="0" xfId="0" applyFont="1" applyFill="1" applyBorder="1" applyAlignment="1"/>
    <xf numFmtId="0" fontId="3" fillId="2" borderId="0" xfId="0" applyFont="1" applyFill="1" applyAlignment="1">
      <alignment vertical="center"/>
    </xf>
    <xf numFmtId="0" fontId="7" fillId="2" borderId="0" xfId="0" applyFont="1" applyFill="1" applyAlignment="1">
      <alignment horizontal="left" vertical="center" indent="4"/>
    </xf>
    <xf numFmtId="0" fontId="3" fillId="2" borderId="0" xfId="0" applyFont="1" applyFill="1" applyAlignment="1">
      <alignment horizontal="left" vertical="center" indent="4"/>
    </xf>
    <xf numFmtId="0" fontId="5" fillId="2" borderId="11"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center" vertical="center" wrapText="1"/>
    </xf>
    <xf numFmtId="0" fontId="5" fillId="2" borderId="7"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0" xfId="0" applyFont="1" applyFill="1" applyBorder="1" applyAlignment="1">
      <alignment horizontal="center" vertical="center"/>
    </xf>
    <xf numFmtId="0" fontId="5" fillId="2" borderId="0" xfId="0" applyFont="1" applyFill="1" applyBorder="1" applyAlignment="1">
      <alignment vertical="center"/>
    </xf>
    <xf numFmtId="0" fontId="3" fillId="2" borderId="5" xfId="0" applyFont="1" applyFill="1" applyBorder="1"/>
    <xf numFmtId="0" fontId="3" fillId="2" borderId="13" xfId="0" applyFont="1" applyFill="1" applyBorder="1"/>
    <xf numFmtId="0" fontId="7" fillId="2" borderId="6" xfId="0" applyFont="1" applyFill="1" applyBorder="1" applyAlignment="1">
      <alignment horizontal="left" vertical="center" indent="4"/>
    </xf>
    <xf numFmtId="0" fontId="7" fillId="2" borderId="9" xfId="0" applyFont="1" applyFill="1" applyBorder="1" applyAlignment="1">
      <alignment horizontal="left" vertical="center" indent="4"/>
    </xf>
    <xf numFmtId="0" fontId="9" fillId="2" borderId="0" xfId="0" applyFont="1" applyFill="1" applyBorder="1"/>
    <xf numFmtId="0" fontId="9" fillId="2" borderId="0" xfId="0" applyFont="1" applyFill="1"/>
    <xf numFmtId="0" fontId="10" fillId="2" borderId="0" xfId="0" applyFont="1" applyFill="1" applyBorder="1"/>
    <xf numFmtId="0" fontId="10" fillId="2" borderId="0" xfId="0" applyFont="1" applyFill="1"/>
    <xf numFmtId="0" fontId="0" fillId="0" borderId="0" xfId="2" quotePrefix="1" applyFont="1"/>
    <xf numFmtId="0" fontId="3" fillId="2" borderId="0" xfId="0" applyFont="1" applyFill="1" applyProtection="1">
      <protection locked="0"/>
    </xf>
    <xf numFmtId="0" fontId="9" fillId="4" borderId="15" xfId="2" applyNumberFormat="1" applyFont="1" applyFill="1" applyBorder="1" applyAlignment="1"/>
    <xf numFmtId="0" fontId="0" fillId="5" borderId="15" xfId="2" applyNumberFormat="1" applyFont="1" applyFill="1" applyBorder="1" applyAlignment="1"/>
    <xf numFmtId="0" fontId="0" fillId="0" borderId="15" xfId="2" applyNumberFormat="1" applyFont="1" applyBorder="1" applyAlignment="1"/>
    <xf numFmtId="0" fontId="3" fillId="2" borderId="0" xfId="0" applyFont="1" applyFill="1" applyProtection="1"/>
    <xf numFmtId="0" fontId="11" fillId="2" borderId="0" xfId="0" applyFont="1" applyFill="1" applyBorder="1"/>
    <xf numFmtId="0" fontId="9" fillId="2" borderId="0" xfId="0" applyFont="1" applyFill="1" applyAlignment="1">
      <alignment wrapText="1"/>
    </xf>
    <xf numFmtId="0" fontId="9" fillId="2" borderId="0" xfId="0" applyFont="1" applyFill="1" applyBorder="1" applyAlignment="1">
      <alignment wrapText="1"/>
    </xf>
    <xf numFmtId="164" fontId="10" fillId="2" borderId="0" xfId="1" applyFont="1" applyFill="1" applyBorder="1"/>
    <xf numFmtId="164" fontId="10" fillId="2" borderId="0" xfId="1" applyFont="1" applyFill="1" applyAlignment="1">
      <alignment horizontal="center"/>
    </xf>
    <xf numFmtId="0" fontId="10" fillId="2" borderId="0" xfId="0" applyFont="1" applyFill="1" applyAlignment="1">
      <alignment horizontal="left"/>
    </xf>
    <xf numFmtId="0" fontId="10" fillId="2" borderId="0" xfId="0" applyFont="1" applyFill="1" applyBorder="1" applyAlignment="1">
      <alignment horizontal="right"/>
    </xf>
    <xf numFmtId="0" fontId="10" fillId="2" borderId="0" xfId="0" applyFont="1" applyFill="1" applyBorder="1" applyAlignment="1">
      <alignment horizontal="center"/>
    </xf>
    <xf numFmtId="0" fontId="10" fillId="2" borderId="0" xfId="0" applyFont="1" applyFill="1" applyBorder="1" applyAlignment="1">
      <alignment wrapText="1"/>
    </xf>
    <xf numFmtId="0" fontId="10" fillId="2" borderId="0" xfId="0" applyFont="1" applyFill="1" applyAlignment="1">
      <alignment horizontal="center"/>
    </xf>
    <xf numFmtId="164" fontId="10" fillId="2" borderId="0" xfId="1" applyFont="1" applyFill="1"/>
    <xf numFmtId="0" fontId="10" fillId="2" borderId="0" xfId="0" applyFont="1" applyFill="1" applyBorder="1" applyAlignment="1">
      <alignment horizontal="left"/>
    </xf>
    <xf numFmtId="165" fontId="10" fillId="2" borderId="0" xfId="1" applyNumberFormat="1" applyFont="1" applyFill="1" applyBorder="1"/>
    <xf numFmtId="164" fontId="10" fillId="2" borderId="0" xfId="1" applyNumberFormat="1" applyFont="1" applyFill="1" applyBorder="1"/>
    <xf numFmtId="16" fontId="10" fillId="2" borderId="0" xfId="0" applyNumberFormat="1" applyFont="1" applyFill="1"/>
    <xf numFmtId="3" fontId="10" fillId="2" borderId="0" xfId="0" applyNumberFormat="1" applyFont="1" applyFill="1" applyAlignment="1">
      <alignment horizontal="left"/>
    </xf>
    <xf numFmtId="39" fontId="10" fillId="2" borderId="0" xfId="0" applyNumberFormat="1" applyFont="1" applyFill="1" applyAlignment="1">
      <alignment horizontal="left"/>
    </xf>
    <xf numFmtId="3" fontId="10" fillId="2" borderId="0" xfId="0" applyNumberFormat="1" applyFont="1" applyFill="1"/>
    <xf numFmtId="165" fontId="10" fillId="2" borderId="0" xfId="1" applyNumberFormat="1" applyFont="1" applyFill="1"/>
    <xf numFmtId="37" fontId="10" fillId="2" borderId="0" xfId="0" applyNumberFormat="1" applyFont="1" applyFill="1"/>
    <xf numFmtId="164" fontId="10" fillId="2" borderId="0" xfId="0" applyNumberFormat="1" applyFont="1" applyFill="1"/>
    <xf numFmtId="10" fontId="10" fillId="2" borderId="0" xfId="0" applyNumberFormat="1" applyFont="1" applyFill="1"/>
    <xf numFmtId="167" fontId="10" fillId="2" borderId="0" xfId="0" applyNumberFormat="1" applyFont="1" applyFill="1"/>
    <xf numFmtId="0" fontId="10" fillId="2" borderId="10" xfId="0" applyFont="1" applyFill="1" applyBorder="1" applyAlignment="1">
      <alignment vertical="center"/>
    </xf>
    <xf numFmtId="0" fontId="9" fillId="2" borderId="10" xfId="0" applyFont="1" applyFill="1" applyBorder="1" applyAlignment="1">
      <alignment vertical="center"/>
    </xf>
    <xf numFmtId="0" fontId="3" fillId="2" borderId="0" xfId="0" applyFont="1" applyFill="1" applyBorder="1" applyAlignment="1">
      <alignment horizontal="left" wrapText="1"/>
    </xf>
    <xf numFmtId="2" fontId="3" fillId="2" borderId="0" xfId="0" applyNumberFormat="1" applyFont="1" applyFill="1" applyProtection="1">
      <protection locked="0"/>
    </xf>
    <xf numFmtId="0" fontId="3" fillId="0" borderId="0" xfId="0" applyFont="1"/>
    <xf numFmtId="0" fontId="5" fillId="2" borderId="4" xfId="0" applyFont="1" applyFill="1" applyBorder="1" applyAlignment="1" applyProtection="1">
      <alignment vertical="center"/>
      <protection locked="0"/>
    </xf>
    <xf numFmtId="11" fontId="3" fillId="2" borderId="0" xfId="0" applyNumberFormat="1" applyFont="1" applyFill="1" applyProtection="1">
      <protection locked="0"/>
    </xf>
    <xf numFmtId="0" fontId="12" fillId="2" borderId="0" xfId="0" applyFont="1" applyFill="1" applyBorder="1"/>
    <xf numFmtId="0" fontId="12" fillId="2" borderId="0" xfId="0" applyFont="1" applyFill="1"/>
    <xf numFmtId="0" fontId="11" fillId="2" borderId="0" xfId="0" applyFont="1" applyFill="1"/>
    <xf numFmtId="9" fontId="10" fillId="2" borderId="0" xfId="3" applyFont="1" applyFill="1"/>
    <xf numFmtId="0" fontId="12" fillId="2" borderId="0" xfId="0" applyFont="1" applyFill="1" applyBorder="1" applyAlignment="1">
      <alignment horizontal="right"/>
    </xf>
    <xf numFmtId="0" fontId="11" fillId="2" borderId="0" xfId="0" applyFont="1" applyFill="1" applyBorder="1" applyAlignment="1">
      <alignment horizontal="right"/>
    </xf>
    <xf numFmtId="0" fontId="12" fillId="2" borderId="0" xfId="0" applyFont="1" applyFill="1" applyBorder="1" applyAlignment="1">
      <alignment horizontal="left"/>
    </xf>
    <xf numFmtId="2" fontId="10" fillId="2" borderId="0" xfId="0" applyNumberFormat="1" applyFont="1" applyFill="1"/>
    <xf numFmtId="0" fontId="13" fillId="2" borderId="0" xfId="0" applyFont="1" applyFill="1" applyAlignment="1" applyProtection="1">
      <alignment horizontal="center" vertical="center"/>
      <protection locked="0"/>
    </xf>
    <xf numFmtId="0" fontId="0" fillId="6" borderId="0" xfId="0" applyFill="1"/>
    <xf numFmtId="0" fontId="12" fillId="0" borderId="0" xfId="0" applyFont="1"/>
    <xf numFmtId="0" fontId="11" fillId="0" borderId="0" xfId="0" applyFont="1"/>
    <xf numFmtId="0" fontId="14" fillId="0" borderId="0" xfId="0" applyFont="1"/>
    <xf numFmtId="0" fontId="16" fillId="0" borderId="0" xfId="0" applyFont="1" applyAlignment="1">
      <alignment vertical="center"/>
    </xf>
    <xf numFmtId="0" fontId="0" fillId="0" borderId="0" xfId="0" applyAlignment="1">
      <alignment wrapText="1"/>
    </xf>
    <xf numFmtId="2" fontId="0" fillId="0" borderId="0" xfId="0" applyNumberFormat="1"/>
    <xf numFmtId="14" fontId="0" fillId="0" borderId="0" xfId="0" applyNumberFormat="1"/>
    <xf numFmtId="0" fontId="15" fillId="0" borderId="0" xfId="0" applyFont="1" applyAlignment="1">
      <alignment vertical="center"/>
    </xf>
    <xf numFmtId="0" fontId="18" fillId="0" borderId="0" xfId="0" applyFont="1" applyAlignment="1">
      <alignment vertical="center"/>
    </xf>
    <xf numFmtId="0" fontId="9" fillId="2" borderId="0" xfId="0" applyFont="1" applyFill="1" applyBorder="1" applyAlignment="1">
      <alignment vertical="center"/>
    </xf>
    <xf numFmtId="0" fontId="5" fillId="2" borderId="16" xfId="0" applyFont="1" applyFill="1" applyBorder="1" applyAlignment="1">
      <alignment horizontal="center" vertical="center"/>
    </xf>
    <xf numFmtId="0" fontId="5" fillId="2" borderId="17" xfId="0" applyFont="1" applyFill="1" applyBorder="1" applyAlignment="1">
      <alignment horizontal="center" vertical="center"/>
    </xf>
    <xf numFmtId="0" fontId="9" fillId="2" borderId="18" xfId="0" applyFont="1" applyFill="1" applyBorder="1" applyAlignment="1">
      <alignment vertical="center"/>
    </xf>
    <xf numFmtId="0" fontId="9" fillId="2" borderId="12" xfId="0" applyFont="1" applyFill="1" applyBorder="1" applyAlignment="1">
      <alignment vertical="center"/>
    </xf>
    <xf numFmtId="0" fontId="5" fillId="2" borderId="12" xfId="0" applyFont="1" applyFill="1" applyBorder="1" applyAlignment="1">
      <alignment horizontal="center" vertical="center"/>
    </xf>
    <xf numFmtId="2" fontId="9" fillId="2" borderId="12" xfId="0" applyNumberFormat="1" applyFont="1" applyFill="1" applyBorder="1" applyAlignment="1">
      <alignment vertical="center"/>
    </xf>
    <xf numFmtId="47" fontId="0" fillId="0" borderId="0" xfId="0" applyNumberFormat="1"/>
    <xf numFmtId="0" fontId="20" fillId="0" borderId="0" xfId="0" applyFont="1"/>
    <xf numFmtId="2" fontId="5" fillId="2" borderId="14" xfId="0" applyNumberFormat="1" applyFont="1" applyFill="1" applyBorder="1" applyAlignment="1">
      <alignment vertical="center"/>
    </xf>
    <xf numFmtId="2" fontId="5" fillId="2" borderId="18" xfId="0" applyNumberFormat="1" applyFont="1" applyFill="1" applyBorder="1" applyAlignment="1">
      <alignment vertical="center"/>
    </xf>
    <xf numFmtId="0" fontId="1" fillId="2" borderId="3" xfId="0" applyFont="1" applyFill="1" applyBorder="1" applyAlignment="1">
      <alignment horizontal="center" vertical="center"/>
    </xf>
    <xf numFmtId="2" fontId="1" fillId="2" borderId="14" xfId="0" applyNumberFormat="1" applyFont="1" applyFill="1" applyBorder="1" applyAlignment="1">
      <alignment vertical="center"/>
    </xf>
    <xf numFmtId="168" fontId="0" fillId="2" borderId="10" xfId="0" applyNumberFormat="1" applyFill="1" applyBorder="1" applyAlignment="1">
      <alignment horizontal="center" vertical="center"/>
    </xf>
    <xf numFmtId="168" fontId="1" fillId="2" borderId="10" xfId="0" applyNumberFormat="1" applyFont="1" applyFill="1" applyBorder="1" applyAlignment="1">
      <alignment horizontal="center" vertical="center"/>
    </xf>
    <xf numFmtId="2" fontId="1" fillId="2" borderId="18" xfId="0" applyNumberFormat="1" applyFont="1" applyFill="1" applyBorder="1" applyAlignment="1">
      <alignment vertical="center"/>
    </xf>
    <xf numFmtId="168" fontId="1" fillId="2" borderId="18" xfId="0" applyNumberFormat="1" applyFont="1" applyFill="1" applyBorder="1" applyAlignment="1">
      <alignment horizontal="center" vertical="center"/>
    </xf>
    <xf numFmtId="2" fontId="1" fillId="2" borderId="12" xfId="0" applyNumberFormat="1" applyFont="1" applyFill="1" applyBorder="1" applyAlignment="1">
      <alignment vertical="center"/>
    </xf>
    <xf numFmtId="2" fontId="1" fillId="2" borderId="12" xfId="0" applyNumberFormat="1" applyFont="1" applyFill="1" applyBorder="1" applyAlignment="1">
      <alignment horizontal="center" vertical="center"/>
    </xf>
    <xf numFmtId="0" fontId="0" fillId="0" borderId="0" xfId="0" applyAlignment="1"/>
    <xf numFmtId="169" fontId="0" fillId="6" borderId="0" xfId="0" applyNumberFormat="1" applyFill="1"/>
    <xf numFmtId="169" fontId="0" fillId="0" borderId="0" xfId="0" applyNumberFormat="1"/>
    <xf numFmtId="22" fontId="0" fillId="0" borderId="0" xfId="0" applyNumberFormat="1"/>
    <xf numFmtId="0" fontId="22" fillId="0" borderId="0" xfId="0" applyFont="1" applyAlignment="1">
      <alignment vertical="center"/>
    </xf>
    <xf numFmtId="0" fontId="26" fillId="6" borderId="0" xfId="0" applyFont="1" applyFill="1" applyAlignment="1">
      <alignment vertical="center"/>
    </xf>
    <xf numFmtId="0" fontId="26" fillId="0" borderId="0" xfId="0" applyFont="1" applyAlignment="1">
      <alignment vertical="center"/>
    </xf>
    <xf numFmtId="0" fontId="3" fillId="0" borderId="0" xfId="0" applyFont="1" applyAlignment="1">
      <alignment vertical="center"/>
    </xf>
    <xf numFmtId="0" fontId="3" fillId="3" borderId="1" xfId="0" applyFont="1" applyFill="1" applyBorder="1" applyAlignment="1" applyProtection="1">
      <alignment horizontal="center"/>
      <protection locked="0"/>
    </xf>
    <xf numFmtId="0" fontId="3" fillId="3" borderId="2" xfId="0" applyFont="1" applyFill="1" applyBorder="1" applyAlignment="1" applyProtection="1">
      <alignment horizontal="center"/>
      <protection locked="0"/>
    </xf>
    <xf numFmtId="0" fontId="3" fillId="3" borderId="3" xfId="0" applyFont="1" applyFill="1" applyBorder="1" applyAlignment="1" applyProtection="1">
      <alignment horizontal="center"/>
      <protection locked="0"/>
    </xf>
    <xf numFmtId="0" fontId="3" fillId="2" borderId="0" xfId="0" applyFont="1" applyFill="1" applyBorder="1" applyAlignment="1">
      <alignment horizontal="left" vertical="center" wrapText="1"/>
    </xf>
    <xf numFmtId="0" fontId="3" fillId="2" borderId="14" xfId="0" applyFont="1" applyFill="1" applyBorder="1" applyAlignment="1">
      <alignment horizontal="left" vertical="center" wrapText="1"/>
    </xf>
    <xf numFmtId="0" fontId="3" fillId="2" borderId="8" xfId="0" applyFont="1" applyFill="1" applyBorder="1" applyAlignment="1">
      <alignment horizontal="left" wrapText="1"/>
    </xf>
    <xf numFmtId="0" fontId="3" fillId="2" borderId="10" xfId="0" applyFont="1" applyFill="1" applyBorder="1" applyAlignment="1">
      <alignment horizontal="left" wrapText="1"/>
    </xf>
    <xf numFmtId="49" fontId="14" fillId="0" borderId="0" xfId="0" applyNumberFormat="1" applyFont="1" applyAlignment="1">
      <alignment wrapText="1"/>
    </xf>
    <xf numFmtId="49" fontId="0" fillId="0" borderId="0" xfId="0" applyNumberFormat="1" applyAlignment="1"/>
    <xf numFmtId="0" fontId="14" fillId="0" borderId="0" xfId="0" applyFont="1" applyAlignment="1">
      <alignment wrapText="1"/>
    </xf>
    <xf numFmtId="0" fontId="0" fillId="0" borderId="0" xfId="0" applyAlignment="1"/>
    <xf numFmtId="0" fontId="0" fillId="0" borderId="0" xfId="0" applyAlignment="1">
      <alignment wrapText="1"/>
    </xf>
  </cellXfs>
  <cellStyles count="4">
    <cellStyle name="Comma" xfId="1" builtinId="3"/>
    <cellStyle name="Normal" xfId="0" builtinId="0"/>
    <cellStyle name="Normal 5" xfId="2" xr:uid="{15DE99FD-C6B9-43CC-B9D4-5A314A617C5B}"/>
    <cellStyle name="Percent" xfId="3" builtinId="5"/>
  </cellStyles>
  <dxfs count="0"/>
  <tableStyles count="1" defaultTableStyle="TableStyleMedium2" defaultPivotStyle="PivotStyleLight16">
    <tableStyle name="Invisible" pivot="0" table="0" count="0" xr9:uid="{B6B379F8-DB15-49C6-94E3-F958EE809745}"/>
  </tableStyles>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xdr:col>
      <xdr:colOff>669650</xdr:colOff>
      <xdr:row>2</xdr:row>
      <xdr:rowOff>85726</xdr:rowOff>
    </xdr:from>
    <xdr:to>
      <xdr:col>5</xdr:col>
      <xdr:colOff>485361</xdr:colOff>
      <xdr:row>5</xdr:row>
      <xdr:rowOff>170623</xdr:rowOff>
    </xdr:to>
    <xdr:pic macro="[0]!unLockExamSheets">
      <xdr:nvPicPr>
        <xdr:cNvPr id="2" name="Picture 6" descr="logo_JR-Shaw (3)">
          <a:extLst>
            <a:ext uri="{FF2B5EF4-FFF2-40B4-BE49-F238E27FC236}">
              <a16:creationId xmlns:a16="http://schemas.microsoft.com/office/drawing/2014/main" id="{674F9634-9B1B-424C-B1CD-8BDD35A7690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74650" y="466726"/>
          <a:ext cx="1958836" cy="7135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28575</xdr:colOff>
      <xdr:row>3</xdr:row>
      <xdr:rowOff>104775</xdr:rowOff>
    </xdr:from>
    <xdr:to>
      <xdr:col>11</xdr:col>
      <xdr:colOff>533400</xdr:colOff>
      <xdr:row>5</xdr:row>
      <xdr:rowOff>131445</xdr:rowOff>
    </xdr:to>
    <xdr:pic macro="[0]!AccessAdminPanelMacro">
      <xdr:nvPicPr>
        <xdr:cNvPr id="5" name="Graphic 1" descr="Bar graph with upward trend">
          <a:extLst>
            <a:ext uri="{FF2B5EF4-FFF2-40B4-BE49-F238E27FC236}">
              <a16:creationId xmlns:a16="http://schemas.microsoft.com/office/drawing/2014/main" id="{3277EFA5-1131-4DFE-AE92-3545C5D7D995}"/>
            </a:ext>
          </a:extLst>
        </xdr:cNvPr>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829800" y="676275"/>
          <a:ext cx="504825" cy="504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390525</xdr:colOff>
      <xdr:row>4</xdr:row>
      <xdr:rowOff>83820</xdr:rowOff>
    </xdr:from>
    <xdr:to>
      <xdr:col>10</xdr:col>
      <xdr:colOff>245745</xdr:colOff>
      <xdr:row>23</xdr:row>
      <xdr:rowOff>9525</xdr:rowOff>
    </xdr:to>
    <xdr:pic>
      <xdr:nvPicPr>
        <xdr:cNvPr id="2" name="Picture 1">
          <a:extLst>
            <a:ext uri="{FF2B5EF4-FFF2-40B4-BE49-F238E27FC236}">
              <a16:creationId xmlns:a16="http://schemas.microsoft.com/office/drawing/2014/main" id="{D3A31F69-7464-4AD6-AEE5-CC2ABBDC37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00625" y="1150620"/>
          <a:ext cx="2903220" cy="35452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0C7B26C-3D4E-4EC4-92CB-4871CECE2E54}" name="Table4" displayName="Table4" ref="A1:F34" totalsRowShown="0" headerRowCellStyle="Normal 5" dataCellStyle="Normal 5">
  <autoFilter ref="A1:F34" xr:uid="{744170B5-9E13-4516-BA6A-93AE0564F7B2}"/>
  <sortState xmlns:xlrd2="http://schemas.microsoft.com/office/spreadsheetml/2017/richdata2" ref="A2:F34">
    <sortCondition ref="A2:A34"/>
  </sortState>
  <tableColumns count="6">
    <tableColumn id="1" xr3:uid="{08CC3705-D7CF-47C9-A6CA-0E768BC6C16D}" name="Account List" dataCellStyle="Normal 5"/>
    <tableColumn id="2" xr3:uid="{C77D36CB-4177-427C-A970-02DEA0BAAF59}" name="Type " dataCellStyle="Normal 5"/>
    <tableColumn id="3" xr3:uid="{4C412E9B-4CB4-4EF1-82F4-33B1C835F246}" name="Increase Decrease" dataCellStyle="Normal 5"/>
    <tableColumn id="4" xr3:uid="{62D12FE0-2B46-4C97-909E-BF5A98074EAF}" name="Debit Credit" dataCellStyle="Normal 5"/>
    <tableColumn id="5" xr3:uid="{5707AC10-599C-4774-B977-E5CB577E539F}" name="Better/Worse" dataCellStyle="Normal 5"/>
    <tableColumn id="6" xr3:uid="{50D83511-BB03-42D8-9AD3-9A7D818599E3}" name="Column1" dataCellStyle="Normal 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00709-1898-497E-BD4C-79F1795974AE}">
  <sheetPr codeName="Sheet12"/>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AFFCE-817D-4C8C-B513-A9BEED76B6C7}">
  <sheetPr codeName="Sheet1">
    <pageSetUpPr fitToPage="1"/>
  </sheetPr>
  <dimension ref="A1:R172"/>
  <sheetViews>
    <sheetView tabSelected="1" workbookViewId="0">
      <selection activeCell="H10" sqref="H10:J10"/>
    </sheetView>
  </sheetViews>
  <sheetFormatPr defaultColWidth="8.7109375" defaultRowHeight="15" x14ac:dyDescent="0.25"/>
  <cols>
    <col min="1" max="1" width="8.7109375" style="16" customWidth="1"/>
    <col min="2" max="2" width="14.140625" style="16" customWidth="1"/>
    <col min="3" max="3" width="11" style="16" customWidth="1"/>
    <col min="4" max="4" width="21.5703125" style="16" customWidth="1"/>
    <col min="5" max="5" width="17" style="16" customWidth="1"/>
    <col min="6" max="6" width="8.7109375" style="16"/>
    <col min="7" max="7" width="19.28515625" style="16" customWidth="1"/>
    <col min="8" max="8" width="27.5703125" style="16" customWidth="1"/>
    <col min="9" max="9" width="30.7109375" style="16" customWidth="1"/>
    <col min="10" max="10" width="8.7109375" style="16"/>
    <col min="11" max="11" width="11.28515625" style="16" customWidth="1"/>
    <col min="12" max="12" width="12" style="16" bestFit="1" customWidth="1"/>
    <col min="13" max="13" width="8.7109375" style="16"/>
    <col min="14" max="14" width="4.28515625" style="16" customWidth="1"/>
    <col min="15" max="15" width="5.28515625" style="16" customWidth="1"/>
    <col min="16" max="16384" width="8.7109375" style="16"/>
  </cols>
  <sheetData>
    <row r="1" spans="1:12" x14ac:dyDescent="0.25">
      <c r="A1" s="15"/>
      <c r="I1" s="17" t="s">
        <v>68</v>
      </c>
    </row>
    <row r="2" spans="1:12" x14ac:dyDescent="0.25">
      <c r="A2" s="15"/>
    </row>
    <row r="3" spans="1:12" x14ac:dyDescent="0.25">
      <c r="A3" s="18"/>
    </row>
    <row r="4" spans="1:12" ht="18.75" x14ac:dyDescent="0.25">
      <c r="I4" s="85" t="s">
        <v>157</v>
      </c>
    </row>
    <row r="5" spans="1:12" ht="19.5" x14ac:dyDescent="0.25">
      <c r="A5" s="19"/>
      <c r="I5" s="19" t="s">
        <v>184</v>
      </c>
    </row>
    <row r="6" spans="1:12" x14ac:dyDescent="0.25">
      <c r="I6" s="15" t="s">
        <v>48</v>
      </c>
    </row>
    <row r="7" spans="1:12" x14ac:dyDescent="0.25">
      <c r="I7" s="20" t="s">
        <v>48</v>
      </c>
    </row>
    <row r="8" spans="1:12" x14ac:dyDescent="0.25">
      <c r="I8" s="15" t="s">
        <v>48</v>
      </c>
    </row>
    <row r="9" spans="1:12" ht="15.75" thickBot="1" x14ac:dyDescent="0.3"/>
    <row r="10" spans="1:12" ht="15.75" thickBot="1" x14ac:dyDescent="0.3">
      <c r="F10" s="21" t="s">
        <v>53</v>
      </c>
      <c r="H10" s="123" t="s">
        <v>541</v>
      </c>
      <c r="I10" s="124"/>
      <c r="J10" s="125"/>
      <c r="K10" s="22"/>
      <c r="L10" s="22"/>
    </row>
    <row r="11" spans="1:12" x14ac:dyDescent="0.25">
      <c r="A11" s="21"/>
      <c r="H11" s="76" t="s">
        <v>537</v>
      </c>
      <c r="J11" s="73"/>
    </row>
    <row r="12" spans="1:12" x14ac:dyDescent="0.25">
      <c r="D12" s="74"/>
      <c r="F12" s="21" t="s">
        <v>91</v>
      </c>
    </row>
    <row r="13" spans="1:12" x14ac:dyDescent="0.25">
      <c r="F13" s="23" t="s">
        <v>158</v>
      </c>
    </row>
    <row r="14" spans="1:12" x14ac:dyDescent="0.25">
      <c r="A14" s="23" t="s">
        <v>48</v>
      </c>
      <c r="H14" s="46"/>
    </row>
    <row r="15" spans="1:12" x14ac:dyDescent="0.25">
      <c r="F15" s="21" t="s">
        <v>50</v>
      </c>
    </row>
    <row r="16" spans="1:12" x14ac:dyDescent="0.25">
      <c r="F16" s="24" t="s">
        <v>93</v>
      </c>
      <c r="G16" s="16" t="s">
        <v>159</v>
      </c>
    </row>
    <row r="17" spans="1:14" x14ac:dyDescent="0.25">
      <c r="F17" s="24" t="s">
        <v>93</v>
      </c>
      <c r="G17" s="16" t="s">
        <v>92</v>
      </c>
    </row>
    <row r="18" spans="1:14" x14ac:dyDescent="0.25">
      <c r="F18" s="24" t="s">
        <v>93</v>
      </c>
      <c r="G18" s="16" t="s">
        <v>163</v>
      </c>
    </row>
    <row r="19" spans="1:14" x14ac:dyDescent="0.25">
      <c r="F19" s="24" t="s">
        <v>93</v>
      </c>
      <c r="G19" s="16" t="s">
        <v>169</v>
      </c>
    </row>
    <row r="20" spans="1:14" ht="15.75" thickBot="1" x14ac:dyDescent="0.3">
      <c r="A20" s="25"/>
      <c r="F20" s="24"/>
    </row>
    <row r="21" spans="1:14" ht="30.75" thickBot="1" x14ac:dyDescent="0.3">
      <c r="H21" s="26" t="s">
        <v>113</v>
      </c>
      <c r="I21" s="27"/>
      <c r="J21" s="28" t="s">
        <v>51</v>
      </c>
      <c r="K21" s="28" t="s">
        <v>52</v>
      </c>
    </row>
    <row r="22" spans="1:14" ht="15.75" thickBot="1" x14ac:dyDescent="0.3">
      <c r="H22" s="29">
        <v>1</v>
      </c>
      <c r="I22" s="105"/>
      <c r="J22" s="70"/>
      <c r="K22" s="30">
        <v>10</v>
      </c>
    </row>
    <row r="23" spans="1:14" ht="15.75" thickBot="1" x14ac:dyDescent="0.3">
      <c r="H23" s="29">
        <v>2</v>
      </c>
      <c r="I23" s="105"/>
      <c r="J23" s="70"/>
      <c r="K23" s="30">
        <v>10</v>
      </c>
    </row>
    <row r="24" spans="1:14" ht="15.75" thickBot="1" x14ac:dyDescent="0.3">
      <c r="H24" s="29">
        <v>3</v>
      </c>
      <c r="I24" s="105"/>
      <c r="J24" s="70"/>
      <c r="K24" s="30">
        <v>10</v>
      </c>
    </row>
    <row r="25" spans="1:14" ht="15.75" thickBot="1" x14ac:dyDescent="0.3">
      <c r="H25" s="29">
        <v>4</v>
      </c>
      <c r="I25" s="105"/>
      <c r="J25" s="70"/>
      <c r="K25" s="30">
        <v>10</v>
      </c>
    </row>
    <row r="26" spans="1:14" ht="15.75" thickBot="1" x14ac:dyDescent="0.3">
      <c r="H26" s="29">
        <v>5</v>
      </c>
      <c r="I26" s="105"/>
      <c r="J26" s="70"/>
      <c r="K26" s="30">
        <v>10</v>
      </c>
    </row>
    <row r="27" spans="1:14" ht="15.75" thickBot="1" x14ac:dyDescent="0.3">
      <c r="F27" s="40">
        <v>0</v>
      </c>
      <c r="H27" s="29">
        <v>6</v>
      </c>
      <c r="I27" s="105"/>
      <c r="J27" s="71"/>
      <c r="K27" s="30">
        <v>10</v>
      </c>
      <c r="L27" s="80">
        <f>J27/K27</f>
        <v>0</v>
      </c>
    </row>
    <row r="28" spans="1:14" ht="15.75" thickBot="1" x14ac:dyDescent="0.3">
      <c r="H28" s="97">
        <v>7</v>
      </c>
      <c r="I28" s="106"/>
      <c r="J28" s="99"/>
      <c r="K28" s="30">
        <v>10</v>
      </c>
      <c r="L28" s="80"/>
    </row>
    <row r="29" spans="1:14" x14ac:dyDescent="0.25">
      <c r="H29" s="98" t="s">
        <v>181</v>
      </c>
      <c r="I29" s="102">
        <f>SUM(I22:I28)</f>
        <v>0</v>
      </c>
      <c r="J29" s="100"/>
      <c r="K29" s="101"/>
      <c r="L29" s="80"/>
    </row>
    <row r="30" spans="1:14" x14ac:dyDescent="0.25">
      <c r="H30" s="31"/>
      <c r="I30" s="32"/>
      <c r="J30" s="96"/>
      <c r="K30" s="31"/>
      <c r="L30" s="80"/>
    </row>
    <row r="31" spans="1:14" ht="15.75" thickBot="1" x14ac:dyDescent="0.3">
      <c r="F31" s="42"/>
      <c r="H31" s="31"/>
      <c r="I31" s="32"/>
      <c r="J31" s="32"/>
      <c r="K31" s="31"/>
    </row>
    <row r="32" spans="1:14" x14ac:dyDescent="0.25">
      <c r="F32" s="75"/>
      <c r="G32" s="33"/>
      <c r="H32" s="33"/>
      <c r="I32" s="33"/>
      <c r="J32" s="33"/>
      <c r="K32" s="33"/>
      <c r="L32" s="33"/>
      <c r="M32" s="34"/>
      <c r="N32" s="11"/>
    </row>
    <row r="33" spans="1:18" ht="33.6" customHeight="1" x14ac:dyDescent="0.25">
      <c r="F33" s="35" t="s">
        <v>93</v>
      </c>
      <c r="G33" s="126" t="s">
        <v>57</v>
      </c>
      <c r="H33" s="126"/>
      <c r="I33" s="126"/>
      <c r="J33" s="126"/>
      <c r="K33" s="126"/>
      <c r="L33" s="126"/>
      <c r="M33" s="127"/>
      <c r="N33" s="72"/>
    </row>
    <row r="34" spans="1:18" ht="32.1" customHeight="1" thickBot="1" x14ac:dyDescent="0.3">
      <c r="F34" s="36" t="s">
        <v>93</v>
      </c>
      <c r="G34" s="128" t="s">
        <v>58</v>
      </c>
      <c r="H34" s="128"/>
      <c r="I34" s="128"/>
      <c r="J34" s="128"/>
      <c r="K34" s="128"/>
      <c r="L34" s="128"/>
      <c r="M34" s="129"/>
      <c r="N34" s="72"/>
    </row>
    <row r="36" spans="1:18" x14ac:dyDescent="0.25">
      <c r="A36" s="11"/>
      <c r="B36" s="11"/>
      <c r="C36" s="11"/>
      <c r="D36" s="11"/>
      <c r="E36" s="11"/>
      <c r="F36" s="11"/>
      <c r="G36" s="11"/>
      <c r="H36" s="11"/>
      <c r="I36" s="11"/>
      <c r="J36" s="11"/>
      <c r="K36" s="11"/>
      <c r="L36" s="11"/>
      <c r="M36" s="11"/>
      <c r="N36" s="11"/>
      <c r="O36" s="11"/>
      <c r="P36" s="11"/>
      <c r="Q36" s="11"/>
      <c r="R36" s="11"/>
    </row>
    <row r="37" spans="1:18" x14ac:dyDescent="0.25">
      <c r="A37" s="39"/>
      <c r="B37" s="39"/>
      <c r="C37" s="39"/>
      <c r="D37" s="39"/>
      <c r="E37" s="39"/>
      <c r="F37" s="39"/>
      <c r="G37" s="39"/>
      <c r="H37" s="39"/>
      <c r="I37" s="39"/>
      <c r="J37" s="77"/>
      <c r="K37" s="77"/>
      <c r="L37" s="77"/>
      <c r="M37" s="77"/>
      <c r="N37" s="77"/>
      <c r="O37" s="77"/>
      <c r="P37" s="77"/>
      <c r="Q37" s="11"/>
      <c r="R37" s="11"/>
    </row>
    <row r="38" spans="1:18" s="40" customFormat="1" ht="45" x14ac:dyDescent="0.25">
      <c r="A38" s="39" t="s">
        <v>113</v>
      </c>
      <c r="D38" s="37" t="s">
        <v>114</v>
      </c>
      <c r="E38" s="37" t="s">
        <v>115</v>
      </c>
      <c r="F38" s="48" t="s">
        <v>116</v>
      </c>
      <c r="G38" s="49" t="s">
        <v>117</v>
      </c>
      <c r="H38" s="37" t="s">
        <v>118</v>
      </c>
      <c r="J38" s="79"/>
      <c r="K38" s="47"/>
      <c r="L38" s="47"/>
      <c r="M38" s="47"/>
      <c r="N38" s="47"/>
      <c r="O38" s="47"/>
      <c r="P38" s="47"/>
      <c r="Q38" s="39"/>
      <c r="R38" s="39"/>
    </row>
    <row r="39" spans="1:18" s="38" customFormat="1" ht="30" x14ac:dyDescent="0.25">
      <c r="A39" s="37">
        <v>1</v>
      </c>
      <c r="B39" s="48" t="s">
        <v>119</v>
      </c>
      <c r="C39" s="38" t="s">
        <v>120</v>
      </c>
      <c r="D39" s="39" t="s">
        <v>67</v>
      </c>
      <c r="E39" s="50">
        <v>40000</v>
      </c>
      <c r="F39" s="39">
        <v>1</v>
      </c>
      <c r="G39" s="51" t="e">
        <f>#REF!</f>
        <v>#REF!</v>
      </c>
      <c r="H39" s="52">
        <f>gradeGenericQuestionRange(D39,E39:F42,1,G39)</f>
        <v>0</v>
      </c>
      <c r="J39" s="79"/>
      <c r="K39" s="77"/>
      <c r="L39" s="81"/>
      <c r="M39" s="77"/>
      <c r="N39" s="77"/>
      <c r="O39" s="77"/>
      <c r="P39" s="77"/>
      <c r="Q39" s="37"/>
      <c r="R39" s="37"/>
    </row>
    <row r="40" spans="1:18" s="40" customFormat="1" x14ac:dyDescent="0.25">
      <c r="A40" s="39"/>
      <c r="D40" s="39"/>
      <c r="E40" s="50">
        <v>-40000</v>
      </c>
      <c r="F40" s="40">
        <v>1</v>
      </c>
      <c r="G40" s="50"/>
      <c r="H40" s="52"/>
      <c r="J40" s="47"/>
      <c r="K40" s="77"/>
      <c r="L40" s="81"/>
      <c r="M40" s="77"/>
      <c r="N40" s="77"/>
      <c r="O40" s="77"/>
      <c r="P40" s="77"/>
      <c r="Q40" s="39"/>
      <c r="R40" s="39"/>
    </row>
    <row r="41" spans="1:18" s="40" customFormat="1" x14ac:dyDescent="0.25">
      <c r="A41" s="39"/>
      <c r="D41" s="39"/>
      <c r="E41" s="50">
        <v>65000</v>
      </c>
      <c r="F41" s="40">
        <v>0.5</v>
      </c>
      <c r="G41" s="50"/>
      <c r="H41" s="54"/>
      <c r="J41" s="47"/>
      <c r="K41" s="77"/>
      <c r="L41" s="81"/>
      <c r="M41" s="77"/>
      <c r="N41" s="77"/>
      <c r="O41" s="77"/>
      <c r="P41" s="77"/>
      <c r="Q41" s="39"/>
      <c r="R41" s="39"/>
    </row>
    <row r="42" spans="1:18" s="40" customFormat="1" x14ac:dyDescent="0.25">
      <c r="A42" s="39"/>
      <c r="D42" s="39"/>
      <c r="E42" s="50">
        <f>E39*8/12</f>
        <v>26666.666666666668</v>
      </c>
      <c r="F42" s="40">
        <v>0.5</v>
      </c>
      <c r="G42" s="50"/>
      <c r="H42" s="54"/>
      <c r="J42" s="47"/>
      <c r="K42" s="77"/>
      <c r="L42" s="81"/>
      <c r="M42" s="77"/>
      <c r="N42" s="77"/>
      <c r="O42" s="77"/>
      <c r="P42" s="77"/>
      <c r="Q42" s="39"/>
      <c r="R42" s="39"/>
    </row>
    <row r="43" spans="1:18" s="40" customFormat="1" ht="30" x14ac:dyDescent="0.25">
      <c r="A43" s="39"/>
      <c r="B43" s="39"/>
      <c r="C43" s="55" t="s">
        <v>121</v>
      </c>
      <c r="D43" s="39" t="s">
        <v>67</v>
      </c>
      <c r="E43" s="50">
        <v>12000</v>
      </c>
      <c r="F43" s="39">
        <v>1</v>
      </c>
      <c r="G43" s="50" t="e">
        <f>#REF!</f>
        <v>#REF!</v>
      </c>
      <c r="H43" s="52" t="str">
        <f>gradeGenericQuestion(D43,E43:E44,F43,G43)</f>
        <v>2Exception</v>
      </c>
      <c r="J43" s="78"/>
      <c r="K43" s="77"/>
      <c r="L43" s="77"/>
      <c r="M43" s="77"/>
      <c r="N43" s="77"/>
      <c r="O43" s="77"/>
      <c r="P43" s="77"/>
      <c r="Q43" s="39"/>
      <c r="R43" s="39"/>
    </row>
    <row r="44" spans="1:18" s="40" customFormat="1" x14ac:dyDescent="0.25">
      <c r="A44" s="39"/>
      <c r="B44" s="39"/>
      <c r="C44" s="39"/>
      <c r="D44" s="39"/>
      <c r="E44" s="50">
        <v>-12000</v>
      </c>
      <c r="F44" s="40">
        <v>1</v>
      </c>
      <c r="G44" s="50"/>
      <c r="H44" s="54"/>
      <c r="J44" s="77"/>
      <c r="K44" s="77"/>
      <c r="L44" s="78"/>
      <c r="M44" s="78"/>
      <c r="N44" s="78"/>
      <c r="O44" s="77"/>
      <c r="P44" s="77"/>
      <c r="Q44" s="39"/>
      <c r="R44" s="39"/>
    </row>
    <row r="45" spans="1:18" s="40" customFormat="1" x14ac:dyDescent="0.25">
      <c r="A45" s="39"/>
      <c r="B45" s="39"/>
      <c r="C45" s="39" t="s">
        <v>122</v>
      </c>
      <c r="D45" s="39" t="s">
        <v>67</v>
      </c>
      <c r="E45" s="50">
        <v>8671.75</v>
      </c>
      <c r="F45" s="39">
        <v>1</v>
      </c>
      <c r="G45" s="50" t="e">
        <f>#REF!</f>
        <v>#REF!</v>
      </c>
      <c r="H45" s="52">
        <f>gradeGenericQuestionRange(D45,E45:F49,1,G45)</f>
        <v>0</v>
      </c>
      <c r="J45" s="78"/>
      <c r="K45" s="77"/>
      <c r="L45" s="77"/>
      <c r="M45" s="78"/>
      <c r="N45" s="78"/>
      <c r="O45" s="77"/>
      <c r="P45" s="77"/>
      <c r="Q45" s="39"/>
      <c r="R45" s="39"/>
    </row>
    <row r="46" spans="1:18" s="40" customFormat="1" x14ac:dyDescent="0.25">
      <c r="A46" s="39"/>
      <c r="B46" s="39"/>
      <c r="C46" s="39"/>
      <c r="D46" s="39"/>
      <c r="E46" s="50">
        <v>8672</v>
      </c>
      <c r="F46" s="39">
        <v>1</v>
      </c>
      <c r="G46" s="50"/>
      <c r="H46" s="56"/>
      <c r="J46" s="78"/>
      <c r="K46" s="77"/>
      <c r="L46" s="82"/>
      <c r="M46" s="47"/>
      <c r="N46" s="78"/>
      <c r="O46" s="77"/>
      <c r="P46" s="77"/>
      <c r="Q46" s="39"/>
      <c r="R46" s="39"/>
    </row>
    <row r="47" spans="1:18" s="40" customFormat="1" x14ac:dyDescent="0.25">
      <c r="A47" s="39"/>
      <c r="B47" s="39"/>
      <c r="C47" s="39"/>
      <c r="D47" s="39"/>
      <c r="E47" s="50">
        <v>-8671.75</v>
      </c>
      <c r="F47" s="40">
        <v>1</v>
      </c>
      <c r="G47" s="57"/>
      <c r="H47" s="56"/>
      <c r="J47" s="78"/>
      <c r="K47" s="77"/>
      <c r="L47" s="78"/>
      <c r="M47" s="78"/>
      <c r="N47" s="77"/>
      <c r="O47" s="77"/>
      <c r="P47" s="77"/>
      <c r="Q47" s="39"/>
      <c r="R47" s="39"/>
    </row>
    <row r="48" spans="1:18" s="40" customFormat="1" x14ac:dyDescent="0.25">
      <c r="A48" s="39"/>
      <c r="B48" s="39"/>
      <c r="C48" s="39"/>
      <c r="D48" s="39"/>
      <c r="E48" s="50">
        <v>-8672</v>
      </c>
      <c r="F48" s="40">
        <v>1</v>
      </c>
      <c r="G48" s="57"/>
      <c r="H48" s="54"/>
      <c r="J48" s="77"/>
      <c r="K48" s="77"/>
      <c r="L48" s="78"/>
      <c r="M48" s="78"/>
      <c r="N48" s="78"/>
      <c r="O48" s="77"/>
      <c r="P48" s="77"/>
      <c r="Q48" s="39"/>
      <c r="R48" s="39"/>
    </row>
    <row r="49" spans="1:18" s="40" customFormat="1" x14ac:dyDescent="0.25">
      <c r="A49" s="39"/>
      <c r="B49" s="39"/>
      <c r="C49" s="39"/>
      <c r="D49" s="39"/>
      <c r="E49" s="50">
        <f>(80000-10000)*2/8</f>
        <v>17500</v>
      </c>
      <c r="F49" s="40">
        <v>0.5</v>
      </c>
      <c r="G49" s="57"/>
      <c r="H49" s="54"/>
      <c r="J49" s="77"/>
      <c r="K49" s="77"/>
      <c r="L49" s="78"/>
      <c r="M49" s="78"/>
      <c r="N49" s="78"/>
      <c r="O49" s="77"/>
      <c r="P49" s="77"/>
      <c r="Q49" s="39"/>
      <c r="R49" s="39"/>
    </row>
    <row r="50" spans="1:18" s="40" customFormat="1" ht="30" x14ac:dyDescent="0.25">
      <c r="A50" s="39"/>
      <c r="B50" s="39"/>
      <c r="C50" s="55" t="s">
        <v>123</v>
      </c>
      <c r="D50" s="39" t="s">
        <v>67</v>
      </c>
      <c r="E50" s="50">
        <v>5400</v>
      </c>
      <c r="F50" s="40">
        <v>1</v>
      </c>
      <c r="G50" s="57" t="e">
        <f>#REF!</f>
        <v>#REF!</v>
      </c>
      <c r="H50" s="52">
        <f>gradeGenericQuestionRange(D50,E50:F52,1,G50)</f>
        <v>0</v>
      </c>
      <c r="J50" s="77"/>
      <c r="K50" s="83"/>
      <c r="L50" s="77"/>
      <c r="M50" s="77"/>
      <c r="N50" s="77"/>
      <c r="O50" s="77"/>
      <c r="P50" s="77"/>
      <c r="Q50" s="39"/>
      <c r="R50" s="39"/>
    </row>
    <row r="51" spans="1:18" s="40" customFormat="1" x14ac:dyDescent="0.25">
      <c r="A51" s="39"/>
      <c r="B51" s="39"/>
      <c r="C51" s="39"/>
      <c r="D51" s="37"/>
      <c r="E51" s="50">
        <v>-5400</v>
      </c>
      <c r="F51" s="40">
        <v>1</v>
      </c>
      <c r="G51" s="57"/>
      <c r="H51" s="53"/>
      <c r="J51" s="77"/>
      <c r="K51" s="83"/>
      <c r="L51" s="78"/>
      <c r="M51" s="78"/>
      <c r="N51" s="47"/>
      <c r="O51" s="77"/>
      <c r="P51" s="82"/>
      <c r="Q51" s="39"/>
      <c r="R51" s="39"/>
    </row>
    <row r="52" spans="1:18" s="40" customFormat="1" x14ac:dyDescent="0.25">
      <c r="A52" s="39"/>
      <c r="B52" s="39"/>
      <c r="C52" s="39"/>
      <c r="D52" s="39"/>
      <c r="E52" s="50">
        <f>100000/500000*30000</f>
        <v>6000</v>
      </c>
      <c r="F52" s="40">
        <v>0.5</v>
      </c>
      <c r="G52" s="57"/>
      <c r="H52" s="53"/>
      <c r="J52" s="77"/>
      <c r="K52" s="83"/>
      <c r="L52" s="77"/>
      <c r="M52" s="77"/>
      <c r="N52" s="77"/>
      <c r="O52" s="77"/>
      <c r="P52" s="78"/>
      <c r="Q52" s="37"/>
      <c r="R52" s="39"/>
    </row>
    <row r="53" spans="1:18" s="40" customFormat="1" x14ac:dyDescent="0.25">
      <c r="A53" s="39"/>
      <c r="B53" s="37"/>
      <c r="C53" s="39"/>
      <c r="D53" s="39"/>
      <c r="E53" s="50"/>
      <c r="F53" s="39"/>
      <c r="G53" s="50"/>
      <c r="J53" s="77"/>
      <c r="K53" s="77"/>
      <c r="L53" s="77"/>
      <c r="M53" s="77"/>
      <c r="N53" s="77"/>
      <c r="O53" s="77"/>
      <c r="P53" s="77"/>
      <c r="R53" s="39"/>
    </row>
    <row r="54" spans="1:18" s="40" customFormat="1" x14ac:dyDescent="0.25">
      <c r="A54" s="37">
        <v>1</v>
      </c>
      <c r="B54" s="37" t="s">
        <v>124</v>
      </c>
      <c r="C54" s="37" t="s">
        <v>120</v>
      </c>
      <c r="D54" s="39" t="s">
        <v>67</v>
      </c>
      <c r="E54" s="50">
        <v>266667</v>
      </c>
      <c r="F54" s="39">
        <v>1</v>
      </c>
      <c r="G54" s="57" t="e">
        <f>#REF!</f>
        <v>#REF!</v>
      </c>
      <c r="H54" s="52" t="str">
        <f>gradeGenericQuestion(D54,E54:E55,F54,G54)</f>
        <v>2Exception</v>
      </c>
      <c r="J54" s="77"/>
      <c r="K54" s="77"/>
      <c r="L54" s="77"/>
      <c r="M54" s="77"/>
      <c r="N54" s="77"/>
      <c r="O54" s="77"/>
      <c r="P54" s="77"/>
      <c r="Q54" s="39"/>
      <c r="R54" s="39"/>
    </row>
    <row r="55" spans="1:18" s="40" customFormat="1" x14ac:dyDescent="0.25">
      <c r="A55" s="37"/>
      <c r="B55" s="37"/>
      <c r="C55" s="37"/>
      <c r="D55" s="37"/>
      <c r="E55" s="50">
        <f>226667+65000</f>
        <v>291667</v>
      </c>
      <c r="F55" s="39">
        <v>1</v>
      </c>
      <c r="G55" s="50"/>
      <c r="H55" s="58"/>
      <c r="J55" s="77"/>
      <c r="K55" s="77"/>
      <c r="L55" s="77"/>
      <c r="M55" s="77"/>
      <c r="N55" s="77"/>
      <c r="O55" s="77"/>
      <c r="P55" s="77"/>
      <c r="Q55" s="39"/>
      <c r="R55" s="39"/>
    </row>
    <row r="56" spans="1:18" s="40" customFormat="1" x14ac:dyDescent="0.25">
      <c r="A56" s="37"/>
      <c r="B56" s="39"/>
      <c r="C56" s="39"/>
      <c r="D56" s="37"/>
      <c r="E56" s="50"/>
      <c r="G56" s="50"/>
      <c r="J56" s="77"/>
      <c r="K56" s="77"/>
      <c r="L56" s="77"/>
      <c r="M56" s="77"/>
      <c r="N56" s="77"/>
      <c r="O56" s="77"/>
      <c r="P56" s="77"/>
      <c r="Q56" s="39"/>
      <c r="R56" s="39"/>
    </row>
    <row r="57" spans="1:18" s="40" customFormat="1" x14ac:dyDescent="0.25">
      <c r="A57" s="39"/>
      <c r="B57" s="39"/>
      <c r="C57" s="39" t="s">
        <v>125</v>
      </c>
      <c r="D57" s="39" t="s">
        <v>67</v>
      </c>
      <c r="E57" s="50">
        <v>80000</v>
      </c>
      <c r="F57" s="59">
        <v>1</v>
      </c>
      <c r="G57" s="60" t="e">
        <f>#REF!</f>
        <v>#REF!</v>
      </c>
      <c r="H57" s="52" t="str">
        <f>gradeGenericQuestion(D57,E57,F57,G57)</f>
        <v>2Exception</v>
      </c>
      <c r="J57" s="77"/>
      <c r="K57" s="77"/>
      <c r="L57" s="77"/>
      <c r="M57" s="77"/>
      <c r="N57" s="77"/>
      <c r="O57" s="77"/>
      <c r="P57" s="77"/>
      <c r="Q57" s="39"/>
      <c r="R57" s="39"/>
    </row>
    <row r="58" spans="1:18" s="40" customFormat="1" x14ac:dyDescent="0.25">
      <c r="A58" s="39"/>
      <c r="E58" s="57"/>
      <c r="J58" s="78"/>
      <c r="K58" s="78"/>
      <c r="L58" s="78"/>
      <c r="M58" s="78"/>
      <c r="N58" s="78"/>
      <c r="O58" s="78"/>
      <c r="P58" s="78"/>
      <c r="Q58" s="39"/>
      <c r="R58" s="39"/>
    </row>
    <row r="59" spans="1:18" s="40" customFormat="1" x14ac:dyDescent="0.25">
      <c r="A59" s="39"/>
      <c r="B59" s="39"/>
      <c r="C59" s="39" t="s">
        <v>122</v>
      </c>
      <c r="D59" s="39" t="s">
        <v>67</v>
      </c>
      <c r="E59" s="50">
        <v>53984.75</v>
      </c>
      <c r="F59" s="39">
        <v>1</v>
      </c>
      <c r="G59" s="50" t="e">
        <f>#REF!</f>
        <v>#REF!</v>
      </c>
      <c r="H59" s="52" t="str">
        <f>gradeGenericQuestion(D59,E59:E61,F59,G59)</f>
        <v>2Exception</v>
      </c>
      <c r="J59" s="77"/>
      <c r="K59" s="77"/>
      <c r="L59" s="77"/>
      <c r="M59" s="77"/>
      <c r="N59" s="77"/>
      <c r="O59" s="77"/>
      <c r="P59" s="77"/>
      <c r="Q59" s="39"/>
      <c r="R59" s="39"/>
    </row>
    <row r="60" spans="1:18" s="40" customFormat="1" x14ac:dyDescent="0.25">
      <c r="A60" s="39"/>
      <c r="B60" s="39"/>
      <c r="C60" s="39"/>
      <c r="D60" s="39"/>
      <c r="E60" s="50">
        <v>53985</v>
      </c>
      <c r="F60" s="39">
        <v>1</v>
      </c>
      <c r="G60" s="39"/>
      <c r="H60" s="39"/>
      <c r="J60" s="77"/>
      <c r="K60" s="77"/>
      <c r="L60" s="77"/>
      <c r="M60" s="77"/>
      <c r="N60" s="77"/>
      <c r="O60" s="77"/>
      <c r="P60" s="77"/>
      <c r="Q60" s="39"/>
      <c r="R60" s="39"/>
    </row>
    <row r="61" spans="1:18" s="40" customFormat="1" x14ac:dyDescent="0.25">
      <c r="A61" s="39"/>
      <c r="B61" s="39"/>
      <c r="C61" s="39"/>
      <c r="D61" s="39"/>
      <c r="E61" s="50">
        <v>62813</v>
      </c>
      <c r="F61" s="39">
        <v>1</v>
      </c>
      <c r="G61" s="39"/>
      <c r="H61" s="39"/>
      <c r="J61" s="77"/>
      <c r="K61" s="77"/>
      <c r="L61" s="77"/>
      <c r="M61" s="77"/>
      <c r="N61" s="77"/>
      <c r="O61" s="77"/>
      <c r="P61" s="77"/>
      <c r="Q61" s="39"/>
      <c r="R61" s="39"/>
    </row>
    <row r="62" spans="1:18" s="40" customFormat="1" x14ac:dyDescent="0.25">
      <c r="A62" s="39"/>
      <c r="B62" s="39"/>
      <c r="C62" s="39"/>
      <c r="D62" s="39"/>
      <c r="E62" s="50"/>
      <c r="F62" s="39"/>
      <c r="G62" s="39"/>
      <c r="H62" s="39"/>
      <c r="J62" s="77"/>
      <c r="K62" s="77"/>
      <c r="L62" s="77"/>
      <c r="M62" s="77"/>
      <c r="N62" s="77"/>
      <c r="O62" s="77"/>
      <c r="P62" s="78"/>
      <c r="R62" s="39"/>
    </row>
    <row r="63" spans="1:18" s="40" customFormat="1" x14ac:dyDescent="0.25">
      <c r="C63" s="40" t="s">
        <v>126</v>
      </c>
      <c r="D63" s="40" t="s">
        <v>67</v>
      </c>
      <c r="E63" s="57">
        <v>5400</v>
      </c>
      <c r="F63" s="40">
        <v>1</v>
      </c>
      <c r="G63" s="40" t="e">
        <f>#REF!</f>
        <v>#REF!</v>
      </c>
      <c r="H63" s="52" t="str">
        <f>gradeGenericQuestion(D63,E63:E64,F63,G63)</f>
        <v>2Exception</v>
      </c>
      <c r="J63" s="78"/>
      <c r="K63" s="78"/>
      <c r="L63" s="78"/>
      <c r="M63" s="78"/>
      <c r="N63" s="78"/>
      <c r="O63" s="78"/>
      <c r="P63" s="78"/>
    </row>
    <row r="64" spans="1:18" s="40" customFormat="1" x14ac:dyDescent="0.25">
      <c r="E64" s="57">
        <v>6000</v>
      </c>
      <c r="F64" s="40">
        <v>1</v>
      </c>
      <c r="J64" s="78"/>
      <c r="K64" s="78"/>
      <c r="L64" s="78"/>
      <c r="M64" s="78"/>
      <c r="N64" s="78"/>
      <c r="O64" s="78"/>
      <c r="P64" s="78"/>
    </row>
    <row r="65" spans="1:16" s="40" customFormat="1" x14ac:dyDescent="0.25">
      <c r="C65" s="40" t="s">
        <v>130</v>
      </c>
      <c r="E65" s="57"/>
      <c r="H65" s="38">
        <f>SUM(H39,H43,H45,H50,H54,H57,H59,H63)</f>
        <v>0</v>
      </c>
      <c r="J65" s="78"/>
      <c r="K65" s="78"/>
      <c r="L65" s="78"/>
      <c r="M65" s="78"/>
      <c r="N65" s="78"/>
      <c r="O65" s="78"/>
      <c r="P65" s="78"/>
    </row>
    <row r="66" spans="1:16" s="40" customFormat="1" x14ac:dyDescent="0.25">
      <c r="E66" s="57"/>
      <c r="J66" s="78"/>
      <c r="K66" s="78"/>
      <c r="L66" s="78"/>
      <c r="M66" s="78"/>
      <c r="N66" s="78"/>
      <c r="O66" s="78"/>
      <c r="P66" s="78"/>
    </row>
    <row r="67" spans="1:16" s="40" customFormat="1" x14ac:dyDescent="0.25">
      <c r="A67" s="40">
        <v>2</v>
      </c>
      <c r="B67" s="40" t="s">
        <v>127</v>
      </c>
      <c r="C67" s="61">
        <v>43830</v>
      </c>
      <c r="D67" s="40" t="s">
        <v>128</v>
      </c>
      <c r="E67" s="57" t="s">
        <v>0</v>
      </c>
      <c r="F67" s="40">
        <v>0.5</v>
      </c>
      <c r="G67" s="52" t="e">
        <f>#REF!</f>
        <v>#REF!</v>
      </c>
      <c r="H67" s="52" t="str">
        <f>gradeGenericQuestion(D67,E67,F67,G67)</f>
        <v>2Exception</v>
      </c>
      <c r="J67" s="78"/>
      <c r="K67" s="78"/>
      <c r="L67" s="78"/>
      <c r="M67" s="78"/>
      <c r="N67" s="78"/>
      <c r="O67" s="78"/>
      <c r="P67" s="78"/>
    </row>
    <row r="68" spans="1:16" s="40" customFormat="1" x14ac:dyDescent="0.25">
      <c r="C68" s="61"/>
      <c r="D68" s="40" t="s">
        <v>129</v>
      </c>
      <c r="E68" s="57">
        <v>17500</v>
      </c>
      <c r="F68" s="40">
        <v>0.5</v>
      </c>
      <c r="G68" s="62" t="e">
        <f>#REF!</f>
        <v>#REF!</v>
      </c>
      <c r="H68" s="52" t="str">
        <f>gradeGenericQuestion(D68,E68,F68,G68)</f>
        <v>2Exception</v>
      </c>
      <c r="J68" s="78"/>
      <c r="K68" s="78"/>
      <c r="L68" s="78"/>
      <c r="M68" s="78"/>
      <c r="N68" s="78"/>
      <c r="O68" s="78"/>
      <c r="P68" s="78"/>
    </row>
    <row r="69" spans="1:16" s="40" customFormat="1" x14ac:dyDescent="0.25">
      <c r="D69" s="40" t="s">
        <v>128</v>
      </c>
      <c r="E69" s="57" t="s">
        <v>108</v>
      </c>
      <c r="F69" s="40">
        <v>0.5</v>
      </c>
      <c r="G69" s="52" t="e">
        <f>#REF!</f>
        <v>#REF!</v>
      </c>
      <c r="H69" s="52" t="str">
        <f>gradeGenericQuestion(D69,E69,F69,G69)</f>
        <v>2Exception</v>
      </c>
      <c r="J69" s="78"/>
      <c r="K69" s="78"/>
      <c r="L69" s="78"/>
      <c r="M69" s="78"/>
      <c r="N69" s="78"/>
      <c r="O69" s="78"/>
      <c r="P69" s="78"/>
    </row>
    <row r="70" spans="1:16" s="40" customFormat="1" x14ac:dyDescent="0.25">
      <c r="D70" s="40" t="s">
        <v>129</v>
      </c>
      <c r="E70" s="57">
        <v>17500</v>
      </c>
      <c r="F70" s="40">
        <v>0.5</v>
      </c>
      <c r="G70" s="62" t="e">
        <f>#REF!</f>
        <v>#REF!</v>
      </c>
      <c r="H70" s="52" t="str">
        <f>gradeGenericQuestion(D70,E70,F70,G70)</f>
        <v>2Exception</v>
      </c>
      <c r="J70" s="78"/>
      <c r="K70" s="78"/>
      <c r="L70" s="78"/>
      <c r="M70" s="78"/>
      <c r="N70" s="78"/>
      <c r="O70" s="78"/>
      <c r="P70" s="78"/>
    </row>
    <row r="71" spans="1:16" s="40" customFormat="1" x14ac:dyDescent="0.25">
      <c r="G71" s="52"/>
      <c r="J71" s="78"/>
      <c r="K71" s="78"/>
      <c r="L71" s="78"/>
      <c r="M71" s="78"/>
      <c r="N71" s="78"/>
      <c r="O71" s="78"/>
      <c r="P71" s="78"/>
    </row>
    <row r="72" spans="1:16" s="40" customFormat="1" x14ac:dyDescent="0.25">
      <c r="C72" s="61">
        <v>43496</v>
      </c>
      <c r="D72" s="40" t="s">
        <v>128</v>
      </c>
      <c r="E72" s="40" t="s">
        <v>108</v>
      </c>
      <c r="F72" s="40">
        <v>0.5</v>
      </c>
      <c r="G72" s="52" t="e">
        <f>#REF!</f>
        <v>#REF!</v>
      </c>
      <c r="H72" s="52" t="str">
        <f t="shared" ref="H72:H79" si="0">gradeGenericQuestion(D72,E72,F72,G72)</f>
        <v>2Exception</v>
      </c>
      <c r="J72" s="78"/>
      <c r="K72" s="78"/>
      <c r="L72" s="78"/>
      <c r="M72" s="78"/>
      <c r="N72" s="78"/>
      <c r="O72" s="78"/>
      <c r="P72" s="78"/>
    </row>
    <row r="73" spans="1:16" s="40" customFormat="1" x14ac:dyDescent="0.25">
      <c r="D73" s="40" t="s">
        <v>129</v>
      </c>
      <c r="E73" s="40">
        <v>15000</v>
      </c>
      <c r="F73" s="40">
        <v>0.5</v>
      </c>
      <c r="G73" s="62" t="e">
        <f>#REF!</f>
        <v>#REF!</v>
      </c>
      <c r="H73" s="52" t="str">
        <f t="shared" si="0"/>
        <v>2Exception</v>
      </c>
      <c r="J73" s="78"/>
      <c r="K73" s="78"/>
      <c r="L73" s="78"/>
      <c r="M73" s="78"/>
      <c r="N73" s="78"/>
      <c r="O73" s="78"/>
      <c r="P73" s="78"/>
    </row>
    <row r="74" spans="1:16" s="40" customFormat="1" x14ac:dyDescent="0.25">
      <c r="D74" s="40" t="s">
        <v>128</v>
      </c>
      <c r="E74" s="40" t="s">
        <v>109</v>
      </c>
      <c r="F74" s="40">
        <v>0.5</v>
      </c>
      <c r="G74" s="52" t="e">
        <f>#REF!</f>
        <v>#REF!</v>
      </c>
      <c r="H74" s="52" t="str">
        <f t="shared" si="0"/>
        <v>2Exception</v>
      </c>
      <c r="J74" s="78"/>
      <c r="K74" s="78"/>
      <c r="L74" s="78"/>
      <c r="M74" s="78"/>
      <c r="N74" s="78"/>
      <c r="O74" s="78"/>
      <c r="P74" s="78"/>
    </row>
    <row r="75" spans="1:16" s="40" customFormat="1" x14ac:dyDescent="0.25">
      <c r="D75" s="40" t="s">
        <v>129</v>
      </c>
      <c r="E75" s="40">
        <v>15000</v>
      </c>
      <c r="F75" s="40">
        <v>0.5</v>
      </c>
      <c r="G75" s="62" t="e">
        <f>#REF!</f>
        <v>#REF!</v>
      </c>
      <c r="H75" s="52" t="str">
        <f t="shared" si="0"/>
        <v>2Exception</v>
      </c>
      <c r="J75" s="78"/>
      <c r="K75" s="78"/>
      <c r="L75" s="78"/>
      <c r="M75" s="78"/>
      <c r="N75" s="78"/>
      <c r="O75" s="78"/>
      <c r="P75" s="78"/>
    </row>
    <row r="76" spans="1:16" s="40" customFormat="1" x14ac:dyDescent="0.25">
      <c r="D76" s="40" t="s">
        <v>128</v>
      </c>
      <c r="E76" s="40" t="s">
        <v>24</v>
      </c>
      <c r="F76" s="40">
        <v>0.5</v>
      </c>
      <c r="G76" s="52" t="e">
        <f>#REF!</f>
        <v>#REF!</v>
      </c>
      <c r="H76" s="52" t="str">
        <f t="shared" si="0"/>
        <v>2Exception</v>
      </c>
      <c r="J76" s="78"/>
      <c r="K76" s="78"/>
      <c r="L76" s="78"/>
      <c r="M76" s="78"/>
      <c r="N76" s="78"/>
      <c r="O76" s="78"/>
      <c r="P76" s="78"/>
    </row>
    <row r="77" spans="1:16" s="40" customFormat="1" x14ac:dyDescent="0.25">
      <c r="D77" s="40" t="s">
        <v>129</v>
      </c>
      <c r="E77" s="40">
        <v>13000</v>
      </c>
      <c r="F77" s="40">
        <v>0.5</v>
      </c>
      <c r="G77" s="62" t="e">
        <f>#REF!</f>
        <v>#REF!</v>
      </c>
      <c r="H77" s="52" t="str">
        <f t="shared" si="0"/>
        <v>2Exception</v>
      </c>
      <c r="J77" s="78"/>
      <c r="K77" s="78"/>
      <c r="L77" s="78"/>
      <c r="M77" s="78"/>
      <c r="N77" s="78"/>
      <c r="O77" s="78"/>
      <c r="P77" s="78"/>
    </row>
    <row r="78" spans="1:16" s="40" customFormat="1" x14ac:dyDescent="0.25">
      <c r="D78" s="40" t="s">
        <v>128</v>
      </c>
      <c r="E78" s="40" t="s">
        <v>3</v>
      </c>
      <c r="F78" s="40">
        <v>0.5</v>
      </c>
      <c r="G78" s="52" t="e">
        <f>#REF!</f>
        <v>#REF!</v>
      </c>
      <c r="H78" s="52" t="str">
        <f t="shared" si="0"/>
        <v>2Exception</v>
      </c>
      <c r="J78" s="78"/>
      <c r="K78" s="78"/>
      <c r="L78" s="78"/>
      <c r="M78" s="78"/>
      <c r="N78" s="78"/>
      <c r="O78" s="78"/>
      <c r="P78" s="78"/>
    </row>
    <row r="79" spans="1:16" s="40" customFormat="1" x14ac:dyDescent="0.25">
      <c r="D79" s="40" t="s">
        <v>129</v>
      </c>
      <c r="E79" s="40">
        <v>13000</v>
      </c>
      <c r="F79" s="40">
        <v>0.5</v>
      </c>
      <c r="G79" s="62" t="e">
        <f>#REF!</f>
        <v>#REF!</v>
      </c>
      <c r="H79" s="52" t="str">
        <f t="shared" si="0"/>
        <v>2Exception</v>
      </c>
      <c r="J79" s="78"/>
      <c r="K79" s="78"/>
      <c r="L79" s="78"/>
      <c r="M79" s="78"/>
      <c r="N79" s="78"/>
      <c r="O79" s="78"/>
      <c r="P79" s="78"/>
    </row>
    <row r="80" spans="1:16" s="40" customFormat="1" x14ac:dyDescent="0.25">
      <c r="G80" s="52"/>
      <c r="J80" s="78"/>
      <c r="K80" s="78"/>
      <c r="L80" s="78"/>
      <c r="M80" s="78"/>
      <c r="N80" s="78"/>
      <c r="O80" s="78"/>
      <c r="P80" s="78"/>
    </row>
    <row r="81" spans="1:16" s="40" customFormat="1" x14ac:dyDescent="0.25">
      <c r="C81" s="61">
        <v>43496</v>
      </c>
      <c r="D81" s="40" t="s">
        <v>128</v>
      </c>
      <c r="E81" s="40" t="s">
        <v>108</v>
      </c>
      <c r="F81" s="40">
        <v>0.5</v>
      </c>
      <c r="G81" s="52" t="e">
        <f>#REF!</f>
        <v>#REF!</v>
      </c>
      <c r="H81" s="52" t="str">
        <f>gradeGenericQuestion(D81,E81,F81,G81)</f>
        <v>2Exception</v>
      </c>
      <c r="J81" s="78"/>
      <c r="K81" s="78"/>
      <c r="L81" s="78"/>
      <c r="M81" s="78"/>
      <c r="N81" s="78"/>
      <c r="O81" s="78"/>
      <c r="P81" s="78"/>
    </row>
    <row r="82" spans="1:16" s="40" customFormat="1" x14ac:dyDescent="0.25">
      <c r="D82" s="40" t="s">
        <v>129</v>
      </c>
      <c r="E82" s="40">
        <v>625</v>
      </c>
      <c r="F82" s="40">
        <v>0.5</v>
      </c>
      <c r="G82" s="63" t="e">
        <f>#REF!</f>
        <v>#REF!</v>
      </c>
      <c r="H82" s="52" t="str">
        <f>gradeGenericQuestion(D82,E82,F82,G82)</f>
        <v>2Exception</v>
      </c>
      <c r="J82" s="78"/>
      <c r="K82" s="78"/>
      <c r="L82" s="78"/>
      <c r="M82" s="78"/>
      <c r="N82" s="78"/>
      <c r="O82" s="78"/>
      <c r="P82" s="78"/>
    </row>
    <row r="83" spans="1:16" s="40" customFormat="1" x14ac:dyDescent="0.25">
      <c r="D83" s="40" t="s">
        <v>128</v>
      </c>
      <c r="E83" s="40" t="s">
        <v>109</v>
      </c>
      <c r="F83" s="40">
        <v>0.5</v>
      </c>
      <c r="G83" s="52" t="e">
        <f>#REF!</f>
        <v>#REF!</v>
      </c>
      <c r="H83" s="52" t="str">
        <f>gradeGenericQuestion(D83,E83,F83,G83)</f>
        <v>2Exception</v>
      </c>
      <c r="J83" s="78"/>
      <c r="K83" s="78"/>
      <c r="L83" s="78"/>
      <c r="M83" s="78"/>
      <c r="N83" s="78"/>
      <c r="O83" s="78"/>
      <c r="P83" s="78"/>
    </row>
    <row r="84" spans="1:16" s="40" customFormat="1" x14ac:dyDescent="0.25">
      <c r="D84" s="40" t="s">
        <v>129</v>
      </c>
      <c r="E84" s="40">
        <v>625</v>
      </c>
      <c r="F84" s="40">
        <v>0.5</v>
      </c>
      <c r="G84" s="63" t="e">
        <f>#REF!</f>
        <v>#REF!</v>
      </c>
      <c r="H84" s="52" t="str">
        <f>gradeGenericQuestion(D84,E84,F84,G84)</f>
        <v>2Exception</v>
      </c>
      <c r="J84" s="78"/>
      <c r="K84" s="78"/>
      <c r="L84" s="78"/>
      <c r="M84" s="78"/>
      <c r="N84" s="78"/>
      <c r="O84" s="78"/>
      <c r="P84" s="78"/>
    </row>
    <row r="85" spans="1:16" s="40" customFormat="1" x14ac:dyDescent="0.25">
      <c r="C85" s="40" t="s">
        <v>130</v>
      </c>
      <c r="G85" s="52"/>
      <c r="H85" s="38">
        <f>SUM(H67:H70,H72:H79,H81:H84)</f>
        <v>0</v>
      </c>
      <c r="J85" s="78"/>
      <c r="K85" s="78"/>
      <c r="L85" s="78"/>
      <c r="M85" s="78"/>
      <c r="N85" s="78"/>
      <c r="O85" s="78"/>
      <c r="P85" s="78"/>
    </row>
    <row r="86" spans="1:16" s="40" customFormat="1" x14ac:dyDescent="0.25">
      <c r="G86" s="52"/>
      <c r="J86" s="78"/>
      <c r="K86" s="78"/>
      <c r="L86" s="78"/>
      <c r="M86" s="78"/>
      <c r="N86" s="78"/>
      <c r="O86" s="78"/>
      <c r="P86" s="78"/>
    </row>
    <row r="87" spans="1:16" s="40" customFormat="1" x14ac:dyDescent="0.25">
      <c r="A87" s="40">
        <v>3</v>
      </c>
      <c r="B87" s="40" t="s">
        <v>131</v>
      </c>
      <c r="C87" s="61">
        <v>43468</v>
      </c>
      <c r="D87" s="40" t="s">
        <v>128</v>
      </c>
      <c r="E87" s="40" t="s">
        <v>0</v>
      </c>
      <c r="F87" s="40">
        <v>0.5</v>
      </c>
      <c r="G87" s="40" t="e">
        <f>#REF!</f>
        <v>#REF!</v>
      </c>
      <c r="H87" s="52" t="str">
        <f>gradeGenericQuestion(D87,E87,F87,G87)</f>
        <v>2Exception</v>
      </c>
      <c r="J87" s="78"/>
      <c r="K87" s="78"/>
      <c r="L87" s="78"/>
      <c r="M87" s="78"/>
      <c r="N87" s="78"/>
      <c r="O87" s="78"/>
      <c r="P87" s="78"/>
    </row>
    <row r="88" spans="1:16" s="40" customFormat="1" x14ac:dyDescent="0.25">
      <c r="D88" s="40" t="s">
        <v>129</v>
      </c>
      <c r="E88" s="40">
        <v>1400000</v>
      </c>
      <c r="F88" s="40">
        <v>0.5</v>
      </c>
      <c r="G88" s="64" t="e">
        <f>#REF!</f>
        <v>#REF!</v>
      </c>
      <c r="H88" s="52" t="str">
        <f>gradeGenericQuestion(D88,E88,F88,G88)</f>
        <v>2Exception</v>
      </c>
      <c r="J88" s="78"/>
      <c r="K88" s="78"/>
      <c r="L88" s="78"/>
      <c r="M88" s="78"/>
      <c r="N88" s="78"/>
      <c r="O88" s="78"/>
      <c r="P88" s="78"/>
    </row>
    <row r="89" spans="1:16" s="40" customFormat="1" x14ac:dyDescent="0.25">
      <c r="D89" s="40" t="s">
        <v>128</v>
      </c>
      <c r="E89" s="40" t="s">
        <v>5</v>
      </c>
      <c r="F89" s="40">
        <v>0.5</v>
      </c>
      <c r="G89" s="40" t="e">
        <f>#REF!</f>
        <v>#REF!</v>
      </c>
      <c r="H89" s="52" t="str">
        <f>gradeGenericQuestion(D89,E89,F89,G89)</f>
        <v>2Exception</v>
      </c>
      <c r="J89" s="78"/>
      <c r="K89" s="78"/>
      <c r="L89" s="78"/>
      <c r="M89" s="78"/>
      <c r="N89" s="78"/>
      <c r="O89" s="78"/>
      <c r="P89" s="78"/>
    </row>
    <row r="90" spans="1:16" s="40" customFormat="1" x14ac:dyDescent="0.25">
      <c r="D90" s="40" t="s">
        <v>129</v>
      </c>
      <c r="E90" s="40">
        <v>1400000</v>
      </c>
      <c r="F90" s="40">
        <v>0.5</v>
      </c>
      <c r="G90" s="64" t="e">
        <f>#REF!</f>
        <v>#REF!</v>
      </c>
      <c r="H90" s="52" t="str">
        <f>gradeGenericQuestion(D90,E90,F90,G90)</f>
        <v>2Exception</v>
      </c>
      <c r="J90" s="78"/>
      <c r="K90" s="78"/>
      <c r="L90" s="78"/>
      <c r="M90" s="78"/>
      <c r="N90" s="78"/>
      <c r="O90" s="78"/>
      <c r="P90" s="78"/>
    </row>
    <row r="91" spans="1:16" s="40" customFormat="1" x14ac:dyDescent="0.25">
      <c r="J91" s="78"/>
      <c r="K91" s="78"/>
      <c r="L91" s="78"/>
      <c r="M91" s="78"/>
      <c r="N91" s="78"/>
      <c r="O91" s="78"/>
      <c r="P91" s="78"/>
    </row>
    <row r="92" spans="1:16" s="40" customFormat="1" x14ac:dyDescent="0.25">
      <c r="C92" s="61">
        <v>43471</v>
      </c>
      <c r="D92" s="40" t="s">
        <v>128</v>
      </c>
      <c r="E92" s="40" t="s">
        <v>0</v>
      </c>
      <c r="F92" s="40">
        <v>0.5</v>
      </c>
      <c r="G92" s="40" t="e">
        <f>#REF!</f>
        <v>#REF!</v>
      </c>
      <c r="H92" s="52" t="str">
        <f>gradeGenericQuestion(D92,E92,F92,G92)</f>
        <v>2Exception</v>
      </c>
      <c r="J92" s="78"/>
      <c r="K92" s="78"/>
      <c r="L92" s="78"/>
      <c r="M92" s="78"/>
      <c r="N92" s="78"/>
      <c r="O92" s="78"/>
      <c r="P92" s="78"/>
    </row>
    <row r="93" spans="1:16" s="40" customFormat="1" x14ac:dyDescent="0.25">
      <c r="D93" s="40" t="s">
        <v>129</v>
      </c>
      <c r="E93" s="65">
        <v>360000</v>
      </c>
      <c r="F93" s="40">
        <v>0.5</v>
      </c>
      <c r="G93" s="64" t="e">
        <f>#REF!</f>
        <v>#REF!</v>
      </c>
      <c r="H93" s="52" t="str">
        <f>gradeGenericQuestion(D93,E93,F93,G93)</f>
        <v>2Exception</v>
      </c>
      <c r="J93" s="78"/>
      <c r="K93" s="78"/>
      <c r="L93" s="78"/>
      <c r="M93" s="78"/>
      <c r="N93" s="78"/>
      <c r="O93" s="78"/>
      <c r="P93" s="78"/>
    </row>
    <row r="94" spans="1:16" s="40" customFormat="1" x14ac:dyDescent="0.25">
      <c r="D94" s="40" t="s">
        <v>132</v>
      </c>
      <c r="E94" s="40" t="s">
        <v>110</v>
      </c>
      <c r="F94" s="40">
        <v>0.5</v>
      </c>
      <c r="G94" s="40" t="e">
        <f>#REF!</f>
        <v>#REF!</v>
      </c>
      <c r="H94" s="52" t="str">
        <f>gradeGenericQuestion(D94,E94,F94,G94)</f>
        <v>2Exception</v>
      </c>
      <c r="J94" s="78"/>
      <c r="K94" s="78"/>
      <c r="L94" s="78"/>
      <c r="M94" s="78"/>
      <c r="N94" s="78"/>
      <c r="O94" s="78"/>
      <c r="P94" s="78"/>
    </row>
    <row r="95" spans="1:16" s="40" customFormat="1" x14ac:dyDescent="0.25">
      <c r="D95" s="40" t="s">
        <v>129</v>
      </c>
      <c r="E95" s="65">
        <v>360000</v>
      </c>
      <c r="F95" s="40">
        <v>0.5</v>
      </c>
      <c r="G95" s="64" t="e">
        <f>#REF!</f>
        <v>#REF!</v>
      </c>
      <c r="H95" s="52" t="str">
        <f>gradeGenericQuestion(D95,E95,F95,G95)</f>
        <v>2Exception</v>
      </c>
      <c r="J95" s="78"/>
      <c r="K95" s="78"/>
      <c r="L95" s="78"/>
      <c r="M95" s="78"/>
      <c r="N95" s="78"/>
      <c r="O95" s="78"/>
      <c r="P95" s="78"/>
    </row>
    <row r="96" spans="1:16" s="40" customFormat="1" x14ac:dyDescent="0.25">
      <c r="J96" s="78"/>
      <c r="K96" s="78"/>
      <c r="L96" s="78"/>
      <c r="M96" s="78"/>
      <c r="N96" s="78"/>
      <c r="O96" s="78"/>
      <c r="P96" s="78"/>
    </row>
    <row r="97" spans="2:16" s="40" customFormat="1" x14ac:dyDescent="0.25">
      <c r="C97" s="61">
        <v>43555</v>
      </c>
      <c r="D97" s="40" t="s">
        <v>128</v>
      </c>
      <c r="E97" s="40" t="s">
        <v>25</v>
      </c>
      <c r="F97" s="40">
        <v>0.5</v>
      </c>
      <c r="G97" s="40" t="e">
        <f>#REF!</f>
        <v>#REF!</v>
      </c>
      <c r="H97" s="52" t="str">
        <f>gradeGenericQuestion(D97,E97:E98,F97,G97)</f>
        <v>2Exception</v>
      </c>
      <c r="J97" s="78"/>
      <c r="K97" s="78"/>
      <c r="L97" s="78"/>
      <c r="M97" s="78"/>
      <c r="N97" s="78"/>
      <c r="O97" s="78"/>
      <c r="P97" s="78"/>
    </row>
    <row r="98" spans="2:16" s="40" customFormat="1" x14ac:dyDescent="0.25">
      <c r="C98" s="61"/>
      <c r="E98" s="40" t="s">
        <v>6</v>
      </c>
      <c r="J98" s="78"/>
      <c r="K98" s="78"/>
      <c r="L98" s="78"/>
      <c r="M98" s="78"/>
      <c r="N98" s="78"/>
      <c r="O98" s="78"/>
      <c r="P98" s="78"/>
    </row>
    <row r="99" spans="2:16" s="40" customFormat="1" x14ac:dyDescent="0.25">
      <c r="D99" s="40" t="s">
        <v>129</v>
      </c>
      <c r="E99" s="65">
        <v>720000</v>
      </c>
      <c r="F99" s="40">
        <v>0.5</v>
      </c>
      <c r="G99" s="66" t="e">
        <f>#REF!</f>
        <v>#REF!</v>
      </c>
      <c r="H99" s="52" t="str">
        <f>gradeGenericQuestion(D99,E99,F99,G99)</f>
        <v>2Exception</v>
      </c>
      <c r="J99" s="78"/>
      <c r="K99" s="78"/>
      <c r="L99" s="78"/>
      <c r="M99" s="78"/>
      <c r="N99" s="78"/>
      <c r="O99" s="78"/>
      <c r="P99" s="78"/>
    </row>
    <row r="100" spans="2:16" s="40" customFormat="1" x14ac:dyDescent="0.25">
      <c r="D100" s="40" t="s">
        <v>128</v>
      </c>
      <c r="E100" s="40" t="s">
        <v>39</v>
      </c>
      <c r="F100" s="40">
        <v>0.5</v>
      </c>
      <c r="G100" s="40" t="e">
        <f>#REF!</f>
        <v>#REF!</v>
      </c>
      <c r="H100" s="52" t="str">
        <f>gradeGenericQuestion(D100,E100,F100,G100)</f>
        <v>2Exception</v>
      </c>
      <c r="J100" s="78"/>
      <c r="K100" s="78"/>
      <c r="L100" s="78"/>
      <c r="M100" s="78"/>
      <c r="N100" s="78"/>
      <c r="O100" s="78"/>
      <c r="P100" s="78"/>
    </row>
    <row r="101" spans="2:16" s="40" customFormat="1" x14ac:dyDescent="0.25">
      <c r="D101" s="40" t="s">
        <v>129</v>
      </c>
      <c r="E101" s="65">
        <f>E99</f>
        <v>720000</v>
      </c>
      <c r="F101" s="40">
        <v>0.5</v>
      </c>
      <c r="G101" s="66" t="e">
        <f>#REF!</f>
        <v>#REF!</v>
      </c>
      <c r="H101" s="52" t="str">
        <f>gradeGenericQuestion(D101,E101,F101,G101)</f>
        <v>2Exception</v>
      </c>
      <c r="J101" s="78"/>
      <c r="K101" s="78"/>
      <c r="L101" s="78"/>
      <c r="M101" s="78"/>
      <c r="N101" s="78"/>
      <c r="O101" s="78"/>
      <c r="P101" s="78"/>
    </row>
    <row r="102" spans="2:16" s="40" customFormat="1" x14ac:dyDescent="0.25">
      <c r="J102" s="78"/>
      <c r="K102" s="78"/>
      <c r="L102" s="78"/>
      <c r="M102" s="78"/>
      <c r="N102" s="78"/>
      <c r="O102" s="78"/>
      <c r="P102" s="78"/>
    </row>
    <row r="103" spans="2:16" s="40" customFormat="1" x14ac:dyDescent="0.25">
      <c r="C103" s="61">
        <v>43567</v>
      </c>
      <c r="D103" s="40" t="s">
        <v>132</v>
      </c>
      <c r="E103" s="40" t="s">
        <v>25</v>
      </c>
      <c r="F103" s="40">
        <v>0.5</v>
      </c>
      <c r="G103" s="40" t="e">
        <f>#REF!</f>
        <v>#REF!</v>
      </c>
      <c r="H103" s="52" t="str">
        <f>gradeGenericQuestion(D103,E103:E104,F103,G103)</f>
        <v>2Exception</v>
      </c>
      <c r="J103" s="78"/>
      <c r="K103" s="78"/>
      <c r="L103" s="78"/>
      <c r="M103" s="78"/>
      <c r="N103" s="78"/>
      <c r="O103" s="78"/>
      <c r="P103" s="78"/>
    </row>
    <row r="104" spans="2:16" s="40" customFormat="1" x14ac:dyDescent="0.25">
      <c r="C104" s="61"/>
      <c r="E104" s="40" t="s">
        <v>6</v>
      </c>
      <c r="J104" s="78"/>
      <c r="K104" s="78"/>
      <c r="L104" s="78"/>
      <c r="M104" s="78"/>
      <c r="N104" s="78"/>
      <c r="O104" s="78"/>
      <c r="P104" s="78"/>
    </row>
    <row r="105" spans="2:16" s="40" customFormat="1" x14ac:dyDescent="0.25">
      <c r="D105" s="40" t="s">
        <v>129</v>
      </c>
      <c r="E105" s="65">
        <v>1380000</v>
      </c>
      <c r="F105" s="40">
        <v>0.5</v>
      </c>
      <c r="G105" s="66" t="e">
        <f>#REF!</f>
        <v>#REF!</v>
      </c>
      <c r="H105" s="52" t="str">
        <f>gradeGenericQuestion(D105,E105,F105,G105)</f>
        <v>2Exception</v>
      </c>
      <c r="J105" s="78"/>
      <c r="K105" s="78"/>
      <c r="L105" s="78"/>
      <c r="M105" s="78"/>
      <c r="N105" s="78"/>
      <c r="O105" s="78"/>
      <c r="P105" s="78"/>
    </row>
    <row r="106" spans="2:16" s="40" customFormat="1" x14ac:dyDescent="0.25">
      <c r="D106" s="40" t="s">
        <v>132</v>
      </c>
      <c r="E106" s="40" t="s">
        <v>39</v>
      </c>
      <c r="F106" s="40">
        <v>0.5</v>
      </c>
      <c r="G106" s="40" t="e">
        <f>#REF!</f>
        <v>#REF!</v>
      </c>
      <c r="H106" s="52" t="str">
        <f>gradeGenericQuestion(D106,E106,F106,G106)</f>
        <v>2Exception</v>
      </c>
      <c r="J106" s="78"/>
      <c r="K106" s="78"/>
      <c r="L106" s="78"/>
      <c r="M106" s="78"/>
      <c r="N106" s="78"/>
      <c r="O106" s="78"/>
      <c r="P106" s="78"/>
    </row>
    <row r="107" spans="2:16" s="40" customFormat="1" x14ac:dyDescent="0.25">
      <c r="D107" s="40" t="s">
        <v>129</v>
      </c>
      <c r="E107" s="65">
        <v>1380000</v>
      </c>
      <c r="F107" s="40">
        <v>0.5</v>
      </c>
      <c r="G107" s="66" t="e">
        <f>#REF!</f>
        <v>#REF!</v>
      </c>
      <c r="H107" s="52" t="str">
        <f>gradeGenericQuestion(D107,E107,F107,G107)</f>
        <v>2Exception</v>
      </c>
      <c r="J107" s="78"/>
      <c r="K107" s="78"/>
      <c r="L107" s="78"/>
      <c r="M107" s="78"/>
      <c r="N107" s="78"/>
      <c r="O107" s="78"/>
      <c r="P107" s="78"/>
    </row>
    <row r="108" spans="2:16" s="40" customFormat="1" x14ac:dyDescent="0.25">
      <c r="J108" s="78"/>
      <c r="K108" s="78"/>
      <c r="L108" s="78"/>
      <c r="M108" s="78"/>
      <c r="N108" s="78"/>
      <c r="O108" s="78"/>
      <c r="P108" s="78"/>
    </row>
    <row r="109" spans="2:16" s="40" customFormat="1" x14ac:dyDescent="0.25">
      <c r="B109" s="40" t="s">
        <v>133</v>
      </c>
      <c r="C109" s="40" t="s">
        <v>134</v>
      </c>
      <c r="D109" s="40" t="s">
        <v>129</v>
      </c>
      <c r="E109" s="65">
        <v>6200000</v>
      </c>
      <c r="F109" s="40">
        <v>0.5</v>
      </c>
      <c r="G109" s="40" t="e">
        <f>#REF!</f>
        <v>#REF!</v>
      </c>
      <c r="H109" s="52" t="str">
        <f>gradeGenericQuestion(D109,E109,F109,G109)</f>
        <v>2Exception</v>
      </c>
      <c r="J109" s="78"/>
      <c r="K109" s="78"/>
      <c r="L109" s="78"/>
      <c r="M109" s="78"/>
      <c r="N109" s="78"/>
      <c r="O109" s="78"/>
      <c r="P109" s="78"/>
    </row>
    <row r="110" spans="2:16" s="40" customFormat="1" x14ac:dyDescent="0.25">
      <c r="D110" s="40" t="s">
        <v>129</v>
      </c>
      <c r="E110" s="65">
        <v>6200000</v>
      </c>
      <c r="F110" s="40">
        <v>0.5</v>
      </c>
      <c r="G110" s="40" t="e">
        <f>#REF!</f>
        <v>#REF!</v>
      </c>
      <c r="H110" s="52" t="str">
        <f>gradeGenericQuestion(D110,E110,F110,G110)</f>
        <v>2Exception</v>
      </c>
      <c r="J110" s="78"/>
      <c r="K110" s="78"/>
      <c r="L110" s="78"/>
      <c r="M110" s="78"/>
      <c r="N110" s="78"/>
      <c r="O110" s="78"/>
      <c r="P110" s="78"/>
    </row>
    <row r="111" spans="2:16" s="40" customFormat="1" x14ac:dyDescent="0.25">
      <c r="J111" s="78"/>
      <c r="K111" s="78"/>
      <c r="L111" s="78"/>
      <c r="M111" s="78"/>
      <c r="N111" s="78"/>
      <c r="O111" s="78"/>
      <c r="P111" s="78"/>
    </row>
    <row r="112" spans="2:16" s="40" customFormat="1" x14ac:dyDescent="0.25">
      <c r="C112" s="40" t="s">
        <v>135</v>
      </c>
      <c r="D112" s="40" t="s">
        <v>129</v>
      </c>
      <c r="E112" s="65">
        <v>100000</v>
      </c>
      <c r="F112" s="40">
        <v>0.5</v>
      </c>
      <c r="G112" s="40" t="e">
        <f>#REF!</f>
        <v>#REF!</v>
      </c>
      <c r="H112" s="52" t="str">
        <f>gradeGenericQuestion(D112,E112,F112,G112)</f>
        <v>2Exception</v>
      </c>
      <c r="J112" s="78"/>
      <c r="K112" s="78"/>
      <c r="L112" s="78"/>
      <c r="M112" s="78"/>
      <c r="N112" s="78"/>
      <c r="O112" s="78"/>
      <c r="P112" s="78"/>
    </row>
    <row r="113" spans="3:16" s="40" customFormat="1" x14ac:dyDescent="0.25">
      <c r="D113" s="40" t="s">
        <v>129</v>
      </c>
      <c r="E113" s="65">
        <v>1400000</v>
      </c>
      <c r="F113" s="40">
        <v>0.5</v>
      </c>
      <c r="G113" s="40" t="e">
        <f>#REF!</f>
        <v>#REF!</v>
      </c>
      <c r="H113" s="52" t="str">
        <f>gradeGenericQuestion(D113,E113,F113,G113)</f>
        <v>2Exception</v>
      </c>
      <c r="J113" s="78"/>
      <c r="K113" s="78"/>
      <c r="L113" s="78"/>
      <c r="M113" s="78"/>
      <c r="N113" s="78"/>
      <c r="O113" s="78"/>
      <c r="P113" s="78"/>
    </row>
    <row r="114" spans="3:16" s="40" customFormat="1" x14ac:dyDescent="0.25">
      <c r="D114" s="40" t="s">
        <v>129</v>
      </c>
      <c r="E114" s="65">
        <v>12000</v>
      </c>
      <c r="F114" s="40">
        <v>0.5</v>
      </c>
      <c r="G114" s="40" t="e">
        <f>#REF!</f>
        <v>#REF!</v>
      </c>
      <c r="H114" s="52" t="str">
        <f>gradeGenericQuestion(D114,E114,F114,G114)</f>
        <v>2Exception</v>
      </c>
      <c r="J114" s="78"/>
      <c r="K114" s="78"/>
      <c r="L114" s="78"/>
      <c r="M114" s="78"/>
      <c r="N114" s="78"/>
      <c r="O114" s="78"/>
      <c r="P114" s="78"/>
    </row>
    <row r="115" spans="3:16" s="40" customFormat="1" x14ac:dyDescent="0.25">
      <c r="D115" s="40" t="s">
        <v>129</v>
      </c>
      <c r="E115" s="65">
        <v>360000</v>
      </c>
      <c r="F115" s="40">
        <v>0.5</v>
      </c>
      <c r="G115" s="40" t="e">
        <f>#REF!</f>
        <v>#REF!</v>
      </c>
      <c r="H115" s="52" t="str">
        <f>gradeGenericQuestion(D115,E115,F115,G115)</f>
        <v>2Exception</v>
      </c>
      <c r="J115" s="78"/>
      <c r="K115" s="78"/>
      <c r="L115" s="78"/>
      <c r="M115" s="78"/>
      <c r="N115" s="78"/>
      <c r="O115" s="78"/>
      <c r="P115" s="78"/>
    </row>
    <row r="116" spans="3:16" s="40" customFormat="1" x14ac:dyDescent="0.25">
      <c r="D116" s="40" t="s">
        <v>129</v>
      </c>
      <c r="E116" s="65">
        <v>1760000</v>
      </c>
      <c r="F116" s="40">
        <v>0.5</v>
      </c>
      <c r="G116" s="40" t="e">
        <f>#REF!</f>
        <v>#REF!</v>
      </c>
      <c r="H116" s="52" t="str">
        <f>gradeGenericQuestion(D116,E116,F116,G116)</f>
        <v>2Exception</v>
      </c>
      <c r="J116" s="78"/>
      <c r="K116" s="78"/>
      <c r="L116" s="78"/>
      <c r="M116" s="78"/>
      <c r="N116" s="78"/>
      <c r="O116" s="78"/>
      <c r="P116" s="78"/>
    </row>
    <row r="117" spans="3:16" s="40" customFormat="1" x14ac:dyDescent="0.25">
      <c r="J117" s="78"/>
      <c r="K117" s="78"/>
      <c r="L117" s="78"/>
      <c r="M117" s="78"/>
      <c r="N117" s="78"/>
      <c r="O117" s="78"/>
      <c r="P117" s="78"/>
    </row>
    <row r="118" spans="3:16" s="40" customFormat="1" x14ac:dyDescent="0.25">
      <c r="C118" s="40" t="s">
        <v>136</v>
      </c>
      <c r="D118" s="40" t="s">
        <v>129</v>
      </c>
      <c r="E118" s="65">
        <v>-2100000</v>
      </c>
      <c r="F118" s="40">
        <v>0.5</v>
      </c>
      <c r="G118" s="40" t="e">
        <f>#REF!</f>
        <v>#REF!</v>
      </c>
      <c r="H118" s="52" t="str">
        <f>gradeGenericQuestion(D118,E118:E119,F118,G118)</f>
        <v>2Exception</v>
      </c>
      <c r="J118" s="78"/>
      <c r="K118" s="78"/>
      <c r="L118" s="78"/>
      <c r="M118" s="78"/>
      <c r="N118" s="78"/>
      <c r="O118" s="78"/>
      <c r="P118" s="78"/>
    </row>
    <row r="119" spans="3:16" s="40" customFormat="1" x14ac:dyDescent="0.25">
      <c r="E119" s="65">
        <v>2100000</v>
      </c>
      <c r="F119" s="40">
        <v>0.5</v>
      </c>
      <c r="J119" s="78"/>
      <c r="K119" s="78"/>
      <c r="L119" s="78"/>
      <c r="M119" s="78"/>
      <c r="N119" s="78"/>
      <c r="O119" s="78"/>
      <c r="P119" s="78"/>
    </row>
    <row r="120" spans="3:16" s="40" customFormat="1" x14ac:dyDescent="0.25">
      <c r="D120" s="40" t="s">
        <v>129</v>
      </c>
      <c r="E120" s="65">
        <v>-2100000</v>
      </c>
      <c r="F120" s="40">
        <v>0.5</v>
      </c>
      <c r="G120" s="40" t="e">
        <f>#REF!</f>
        <v>#REF!</v>
      </c>
      <c r="H120" s="52" t="str">
        <f>gradeGenericQuestion(D120,E120:E121,F120,G120)</f>
        <v>2Exception</v>
      </c>
      <c r="J120" s="78"/>
      <c r="K120" s="78"/>
      <c r="L120" s="78"/>
      <c r="M120" s="78"/>
      <c r="N120" s="78"/>
      <c r="O120" s="78"/>
      <c r="P120" s="78"/>
    </row>
    <row r="121" spans="3:16" s="40" customFormat="1" x14ac:dyDescent="0.25">
      <c r="E121" s="65">
        <v>2100000</v>
      </c>
      <c r="F121" s="40">
        <v>0.5</v>
      </c>
      <c r="J121" s="78"/>
      <c r="K121" s="78"/>
      <c r="L121" s="78"/>
      <c r="M121" s="78"/>
      <c r="N121" s="78"/>
      <c r="O121" s="78"/>
      <c r="P121" s="78"/>
    </row>
    <row r="122" spans="3:16" s="40" customFormat="1" x14ac:dyDescent="0.25">
      <c r="J122" s="78"/>
      <c r="K122" s="78"/>
      <c r="L122" s="78"/>
      <c r="M122" s="78"/>
      <c r="N122" s="78"/>
      <c r="O122" s="78"/>
      <c r="P122" s="78"/>
    </row>
    <row r="123" spans="3:16" s="40" customFormat="1" x14ac:dyDescent="0.25">
      <c r="C123" s="40" t="s">
        <v>137</v>
      </c>
      <c r="D123" s="40" t="s">
        <v>129</v>
      </c>
      <c r="E123" s="65">
        <v>2300000</v>
      </c>
      <c r="F123" s="40">
        <v>0.5</v>
      </c>
      <c r="G123" s="40" t="e">
        <f>#REF!</f>
        <v>#REF!</v>
      </c>
      <c r="H123" s="52" t="str">
        <f t="shared" ref="H123:H128" si="1">gradeGenericQuestion(D123,E123,F123,G123)</f>
        <v>2Exception</v>
      </c>
      <c r="J123" s="78"/>
      <c r="K123" s="78"/>
      <c r="L123" s="78"/>
      <c r="M123" s="78"/>
      <c r="N123" s="78"/>
      <c r="O123" s="78"/>
      <c r="P123" s="78"/>
    </row>
    <row r="124" spans="3:16" s="40" customFormat="1" x14ac:dyDescent="0.25">
      <c r="D124" s="40" t="s">
        <v>129</v>
      </c>
      <c r="E124" s="65">
        <v>27800000</v>
      </c>
      <c r="F124" s="40">
        <v>0.5</v>
      </c>
      <c r="G124" s="40" t="e">
        <f>#REF!</f>
        <v>#REF!</v>
      </c>
      <c r="H124" s="52" t="str">
        <f t="shared" si="1"/>
        <v>2Exception</v>
      </c>
      <c r="J124" s="78"/>
      <c r="K124" s="78"/>
      <c r="L124" s="78"/>
      <c r="M124" s="78"/>
      <c r="N124" s="78"/>
      <c r="O124" s="78"/>
      <c r="P124" s="78"/>
    </row>
    <row r="125" spans="3:16" s="40" customFormat="1" x14ac:dyDescent="0.25">
      <c r="D125" s="40" t="s">
        <v>129</v>
      </c>
      <c r="E125" s="65">
        <v>262000</v>
      </c>
      <c r="F125" s="40">
        <v>0.5</v>
      </c>
      <c r="G125" s="40" t="e">
        <f>#REF!</f>
        <v>#REF!</v>
      </c>
      <c r="H125" s="52" t="str">
        <f t="shared" si="1"/>
        <v>2Exception</v>
      </c>
      <c r="J125" s="78"/>
      <c r="K125" s="78"/>
      <c r="L125" s="78"/>
      <c r="M125" s="78"/>
      <c r="N125" s="78"/>
      <c r="O125" s="78"/>
      <c r="P125" s="78"/>
    </row>
    <row r="126" spans="3:16" s="40" customFormat="1" x14ac:dyDescent="0.25">
      <c r="D126" s="40" t="s">
        <v>129</v>
      </c>
      <c r="E126" s="65">
        <v>7360000</v>
      </c>
      <c r="F126" s="40">
        <v>0.5</v>
      </c>
      <c r="G126" s="40" t="e">
        <f>#REF!</f>
        <v>#REF!</v>
      </c>
      <c r="H126" s="52" t="str">
        <f t="shared" si="1"/>
        <v>2Exception</v>
      </c>
      <c r="J126" s="78"/>
      <c r="K126" s="78"/>
      <c r="L126" s="78"/>
      <c r="M126" s="78"/>
      <c r="N126" s="78"/>
      <c r="O126" s="78"/>
      <c r="P126" s="78"/>
    </row>
    <row r="127" spans="3:16" s="40" customFormat="1" x14ac:dyDescent="0.25">
      <c r="D127" s="40" t="s">
        <v>129</v>
      </c>
      <c r="E127" s="65">
        <v>27100000</v>
      </c>
      <c r="F127" s="40">
        <v>0.5</v>
      </c>
      <c r="G127" s="40" t="e">
        <f>#REF!</f>
        <v>#REF!</v>
      </c>
      <c r="H127" s="52" t="str">
        <f t="shared" si="1"/>
        <v>2Exception</v>
      </c>
      <c r="J127" s="78"/>
      <c r="K127" s="78"/>
      <c r="L127" s="78"/>
      <c r="M127" s="78"/>
      <c r="N127" s="78"/>
      <c r="O127" s="78"/>
      <c r="P127" s="78"/>
    </row>
    <row r="128" spans="3:16" s="40" customFormat="1" x14ac:dyDescent="0.25">
      <c r="D128" s="40" t="s">
        <v>129</v>
      </c>
      <c r="E128" s="65">
        <v>62260000</v>
      </c>
      <c r="F128" s="40">
        <v>1</v>
      </c>
      <c r="G128" s="40" t="e">
        <f>#REF!</f>
        <v>#REF!</v>
      </c>
      <c r="H128" s="52" t="str">
        <f t="shared" si="1"/>
        <v>2Exception</v>
      </c>
      <c r="J128" s="78"/>
      <c r="K128" s="78"/>
      <c r="L128" s="78"/>
      <c r="M128" s="78"/>
      <c r="N128" s="78"/>
      <c r="O128" s="78"/>
      <c r="P128" s="78"/>
    </row>
    <row r="129" spans="1:16" s="40" customFormat="1" x14ac:dyDescent="0.25">
      <c r="C129" s="40" t="s">
        <v>130</v>
      </c>
      <c r="H129" s="38">
        <f>SUM(H87:H128)</f>
        <v>0</v>
      </c>
      <c r="J129" s="78"/>
      <c r="K129" s="78"/>
      <c r="L129" s="78"/>
      <c r="M129" s="78"/>
      <c r="N129" s="78"/>
      <c r="O129" s="78"/>
      <c r="P129" s="78"/>
    </row>
    <row r="130" spans="1:16" s="40" customFormat="1" x14ac:dyDescent="0.25">
      <c r="A130" s="40" t="s">
        <v>138</v>
      </c>
      <c r="B130" s="40" t="s">
        <v>139</v>
      </c>
      <c r="C130" s="40">
        <v>2020</v>
      </c>
      <c r="D130" s="40" t="s">
        <v>129</v>
      </c>
      <c r="E130" s="40">
        <v>1.39</v>
      </c>
      <c r="F130" s="40">
        <v>0.5</v>
      </c>
      <c r="G130" s="67" t="e">
        <f>ROUND(#REF!,2)</f>
        <v>#REF!</v>
      </c>
      <c r="H130" s="52" t="str">
        <f t="shared" ref="H130:H149" si="2">gradeGenericQuestion(D130,E130,F130,G130)</f>
        <v>2Exception</v>
      </c>
      <c r="J130" s="78"/>
      <c r="K130" s="78"/>
      <c r="L130" s="78"/>
      <c r="M130" s="78"/>
      <c r="N130" s="78"/>
      <c r="O130" s="78"/>
      <c r="P130" s="78"/>
    </row>
    <row r="131" spans="1:16" s="40" customFormat="1" x14ac:dyDescent="0.25">
      <c r="C131" s="40">
        <v>2019</v>
      </c>
      <c r="D131" s="40" t="s">
        <v>129</v>
      </c>
      <c r="E131" s="40">
        <v>1.36</v>
      </c>
      <c r="F131" s="40">
        <v>0.5</v>
      </c>
      <c r="G131" s="67" t="e">
        <f>ROUND(#REF!,2)</f>
        <v>#REF!</v>
      </c>
      <c r="H131" s="52" t="str">
        <f t="shared" si="2"/>
        <v>2Exception</v>
      </c>
      <c r="J131" s="78"/>
      <c r="K131" s="78"/>
      <c r="L131" s="78"/>
      <c r="M131" s="78"/>
      <c r="N131" s="78"/>
      <c r="O131" s="78"/>
      <c r="P131" s="78"/>
    </row>
    <row r="132" spans="1:16" s="40" customFormat="1" x14ac:dyDescent="0.25">
      <c r="C132" s="40" t="s">
        <v>140</v>
      </c>
      <c r="D132" s="40" t="s">
        <v>128</v>
      </c>
      <c r="E132" s="40" t="s">
        <v>112</v>
      </c>
      <c r="F132" s="40">
        <v>0.5</v>
      </c>
      <c r="G132" s="40" t="e">
        <f>#REF!</f>
        <v>#REF!</v>
      </c>
      <c r="H132" s="52" t="str">
        <f t="shared" si="2"/>
        <v>2Exception</v>
      </c>
      <c r="J132" s="78"/>
      <c r="K132" s="78"/>
      <c r="L132" s="78"/>
      <c r="M132" s="78"/>
      <c r="N132" s="78"/>
      <c r="O132" s="78"/>
      <c r="P132" s="78"/>
    </row>
    <row r="133" spans="1:16" s="40" customFormat="1" x14ac:dyDescent="0.25">
      <c r="B133" s="40" t="s">
        <v>141</v>
      </c>
      <c r="C133" s="40">
        <v>2020</v>
      </c>
      <c r="D133" s="40" t="s">
        <v>129</v>
      </c>
      <c r="E133" s="40">
        <v>1.19</v>
      </c>
      <c r="F133" s="40">
        <v>0.5</v>
      </c>
      <c r="G133" s="67" t="e">
        <f>ROUND(#REF!,2)</f>
        <v>#REF!</v>
      </c>
      <c r="H133" s="52" t="str">
        <f t="shared" si="2"/>
        <v>2Exception</v>
      </c>
      <c r="J133" s="78"/>
      <c r="K133" s="78"/>
      <c r="L133" s="78"/>
      <c r="M133" s="78"/>
      <c r="N133" s="78"/>
      <c r="O133" s="78"/>
      <c r="P133" s="78"/>
    </row>
    <row r="134" spans="1:16" s="40" customFormat="1" x14ac:dyDescent="0.25">
      <c r="C134" s="40">
        <v>2019</v>
      </c>
      <c r="D134" s="40" t="s">
        <v>129</v>
      </c>
      <c r="E134" s="84">
        <v>1.2</v>
      </c>
      <c r="F134" s="40">
        <v>0.5</v>
      </c>
      <c r="G134" s="67" t="e">
        <f>ROUND(#REF!,2)</f>
        <v>#REF!</v>
      </c>
      <c r="H134" s="52" t="str">
        <f t="shared" si="2"/>
        <v>2Exception</v>
      </c>
      <c r="J134" s="78"/>
      <c r="K134" s="78"/>
      <c r="L134" s="78"/>
      <c r="M134" s="78"/>
      <c r="N134" s="78"/>
      <c r="O134" s="78"/>
      <c r="P134" s="78"/>
    </row>
    <row r="135" spans="1:16" s="40" customFormat="1" x14ac:dyDescent="0.25">
      <c r="C135" s="40" t="s">
        <v>140</v>
      </c>
      <c r="D135" s="40" t="s">
        <v>128</v>
      </c>
      <c r="E135" s="40" t="s">
        <v>111</v>
      </c>
      <c r="F135" s="40">
        <v>0.5</v>
      </c>
      <c r="G135" s="40" t="e">
        <f>#REF!</f>
        <v>#REF!</v>
      </c>
      <c r="H135" s="52" t="str">
        <f t="shared" si="2"/>
        <v>2Exception</v>
      </c>
      <c r="J135" s="78"/>
      <c r="K135" s="78"/>
      <c r="L135" s="78"/>
      <c r="M135" s="78"/>
      <c r="N135" s="78"/>
      <c r="O135" s="78"/>
      <c r="P135" s="78"/>
    </row>
    <row r="136" spans="1:16" s="40" customFormat="1" x14ac:dyDescent="0.25">
      <c r="B136" s="40" t="s">
        <v>142</v>
      </c>
      <c r="D136" s="40" t="s">
        <v>129</v>
      </c>
      <c r="E136" s="40">
        <v>20.170000000000002</v>
      </c>
      <c r="F136" s="40">
        <v>0.5</v>
      </c>
      <c r="G136" s="67" t="e">
        <f>ROUND(#REF!,2)</f>
        <v>#REF!</v>
      </c>
      <c r="H136" s="52" t="str">
        <f t="shared" si="2"/>
        <v>2Exception</v>
      </c>
      <c r="J136" s="78"/>
      <c r="K136" s="78"/>
      <c r="L136" s="78"/>
      <c r="M136" s="78"/>
      <c r="N136" s="78"/>
      <c r="O136" s="78"/>
      <c r="P136" s="78"/>
    </row>
    <row r="137" spans="1:16" s="40" customFormat="1" x14ac:dyDescent="0.25">
      <c r="B137" s="40" t="s">
        <v>143</v>
      </c>
      <c r="D137" s="40" t="s">
        <v>129</v>
      </c>
      <c r="E137" s="40">
        <v>18.100000000000001</v>
      </c>
      <c r="F137" s="40">
        <v>0.5</v>
      </c>
      <c r="G137" s="67" t="e">
        <f>ROUND(#REF!,2)</f>
        <v>#REF!</v>
      </c>
      <c r="H137" s="52" t="str">
        <f t="shared" si="2"/>
        <v>2Exception</v>
      </c>
      <c r="J137" s="78"/>
      <c r="K137" s="78"/>
      <c r="L137" s="78"/>
      <c r="M137" s="78"/>
      <c r="N137" s="78"/>
      <c r="O137" s="78"/>
      <c r="P137" s="78"/>
    </row>
    <row r="138" spans="1:16" s="40" customFormat="1" x14ac:dyDescent="0.25">
      <c r="B138" s="40" t="s">
        <v>144</v>
      </c>
      <c r="D138" s="40" t="s">
        <v>129</v>
      </c>
      <c r="E138" s="40">
        <v>27.86</v>
      </c>
      <c r="F138" s="40">
        <v>0.5</v>
      </c>
      <c r="G138" s="67" t="e">
        <f>ROUND(#REF!,2)</f>
        <v>#REF!</v>
      </c>
      <c r="H138" s="52" t="str">
        <f t="shared" si="2"/>
        <v>2Exception</v>
      </c>
      <c r="J138" s="78"/>
      <c r="K138" s="78"/>
      <c r="L138" s="78"/>
      <c r="M138" s="78"/>
      <c r="N138" s="78"/>
      <c r="O138" s="78"/>
      <c r="P138" s="78"/>
    </row>
    <row r="139" spans="1:16" s="40" customFormat="1" x14ac:dyDescent="0.25">
      <c r="B139" s="40" t="s">
        <v>145</v>
      </c>
      <c r="D139" s="40" t="s">
        <v>129</v>
      </c>
      <c r="E139" s="40">
        <v>13.1</v>
      </c>
      <c r="F139" s="40">
        <v>0.5</v>
      </c>
      <c r="G139" s="67" t="e">
        <f>ROUND(#REF!,2)</f>
        <v>#REF!</v>
      </c>
      <c r="H139" s="52" t="str">
        <f t="shared" si="2"/>
        <v>2Exception</v>
      </c>
      <c r="J139" s="78"/>
      <c r="K139" s="78"/>
      <c r="L139" s="78"/>
      <c r="M139" s="78"/>
      <c r="N139" s="78"/>
      <c r="O139" s="78"/>
      <c r="P139" s="78"/>
    </row>
    <row r="140" spans="1:16" s="40" customFormat="1" x14ac:dyDescent="0.25">
      <c r="B140" s="40" t="s">
        <v>146</v>
      </c>
      <c r="D140" s="40" t="s">
        <v>129</v>
      </c>
      <c r="E140" s="40">
        <v>12.18</v>
      </c>
      <c r="F140" s="40">
        <v>0.5</v>
      </c>
      <c r="G140" s="67" t="e">
        <f>ROUND(#REF!,2)</f>
        <v>#REF!</v>
      </c>
      <c r="H140" s="52" t="str">
        <f t="shared" si="2"/>
        <v>2Exception</v>
      </c>
      <c r="J140" s="78"/>
      <c r="K140" s="78"/>
      <c r="L140" s="78"/>
      <c r="M140" s="78"/>
      <c r="N140" s="78"/>
      <c r="O140" s="78"/>
      <c r="P140" s="78"/>
    </row>
    <row r="141" spans="1:16" s="40" customFormat="1" x14ac:dyDescent="0.25">
      <c r="B141" s="40" t="s">
        <v>147</v>
      </c>
      <c r="D141" s="40" t="s">
        <v>129</v>
      </c>
      <c r="E141" s="40">
        <v>29.96</v>
      </c>
      <c r="F141" s="40">
        <v>0.5</v>
      </c>
      <c r="G141" s="67" t="e">
        <f>ROUND(#REF!,2)</f>
        <v>#REF!</v>
      </c>
      <c r="H141" s="52" t="str">
        <f t="shared" si="2"/>
        <v>2Exception</v>
      </c>
      <c r="J141" s="78"/>
      <c r="K141" s="78"/>
      <c r="L141" s="78"/>
      <c r="M141" s="78"/>
      <c r="N141" s="78"/>
      <c r="O141" s="78"/>
      <c r="P141" s="78"/>
    </row>
    <row r="142" spans="1:16" s="40" customFormat="1" x14ac:dyDescent="0.25">
      <c r="B142" s="40" t="s">
        <v>148</v>
      </c>
      <c r="C142" s="40">
        <v>2020</v>
      </c>
      <c r="D142" s="40" t="s">
        <v>129</v>
      </c>
      <c r="E142" s="68">
        <v>0.58169999999999999</v>
      </c>
      <c r="F142" s="40">
        <v>0.5</v>
      </c>
      <c r="G142" s="69" t="e">
        <f>ROUND(#REF!,4)</f>
        <v>#REF!</v>
      </c>
      <c r="H142" s="52" t="str">
        <f t="shared" si="2"/>
        <v>2Exception</v>
      </c>
      <c r="J142" s="78"/>
      <c r="K142" s="78"/>
      <c r="L142" s="78"/>
      <c r="M142" s="78"/>
      <c r="N142" s="78"/>
      <c r="O142" s="78"/>
      <c r="P142" s="78"/>
    </row>
    <row r="143" spans="1:16" s="40" customFormat="1" x14ac:dyDescent="0.25">
      <c r="C143" s="40">
        <v>2019</v>
      </c>
      <c r="D143" s="40" t="s">
        <v>129</v>
      </c>
      <c r="E143" s="68">
        <v>0.61099999999999999</v>
      </c>
      <c r="F143" s="40">
        <v>0.5</v>
      </c>
      <c r="G143" s="68" t="e">
        <f>ROUND(#REF!,4)</f>
        <v>#REF!</v>
      </c>
      <c r="H143" s="52" t="str">
        <f t="shared" si="2"/>
        <v>2Exception</v>
      </c>
      <c r="J143" s="78"/>
      <c r="K143" s="78"/>
      <c r="L143" s="78"/>
      <c r="M143" s="78"/>
      <c r="N143" s="78"/>
      <c r="O143" s="78"/>
      <c r="P143" s="78"/>
    </row>
    <row r="144" spans="1:16" s="40" customFormat="1" x14ac:dyDescent="0.25">
      <c r="C144" s="40" t="s">
        <v>140</v>
      </c>
      <c r="D144" s="40" t="s">
        <v>128</v>
      </c>
      <c r="E144" s="40" t="s">
        <v>111</v>
      </c>
      <c r="F144" s="40">
        <v>0.5</v>
      </c>
      <c r="G144" s="40" t="e">
        <f>#REF!</f>
        <v>#REF!</v>
      </c>
      <c r="H144" s="52" t="str">
        <f t="shared" si="2"/>
        <v>2Exception</v>
      </c>
      <c r="J144" s="78"/>
      <c r="K144" s="78"/>
      <c r="L144" s="78"/>
      <c r="M144" s="78"/>
      <c r="N144" s="78"/>
      <c r="O144" s="78"/>
      <c r="P144" s="78"/>
    </row>
    <row r="145" spans="1:16" s="40" customFormat="1" x14ac:dyDescent="0.25">
      <c r="B145" s="40" t="s">
        <v>149</v>
      </c>
      <c r="C145" s="40">
        <v>2020</v>
      </c>
      <c r="D145" s="40" t="s">
        <v>129</v>
      </c>
      <c r="E145" s="68">
        <v>0.14449999999999999</v>
      </c>
      <c r="F145" s="40">
        <v>0.5</v>
      </c>
      <c r="G145" s="68" t="e">
        <f>ROUND(#REF!,4)</f>
        <v>#REF!</v>
      </c>
      <c r="H145" s="52" t="str">
        <f t="shared" si="2"/>
        <v>2Exception</v>
      </c>
      <c r="J145" s="78"/>
      <c r="K145" s="78"/>
      <c r="L145" s="78"/>
      <c r="M145" s="78"/>
      <c r="N145" s="78"/>
      <c r="O145" s="78"/>
      <c r="P145" s="78"/>
    </row>
    <row r="146" spans="1:16" s="40" customFormat="1" x14ac:dyDescent="0.25">
      <c r="C146" s="40">
        <v>2019</v>
      </c>
      <c r="D146" s="40" t="s">
        <v>129</v>
      </c>
      <c r="E146" s="68">
        <v>0.1615</v>
      </c>
      <c r="F146" s="40">
        <v>0.5</v>
      </c>
      <c r="G146" s="68" t="e">
        <f>ROUND(#REF!,4)</f>
        <v>#REF!</v>
      </c>
      <c r="H146" s="52" t="str">
        <f t="shared" si="2"/>
        <v>2Exception</v>
      </c>
      <c r="J146" s="78"/>
      <c r="K146" s="78"/>
      <c r="L146" s="78"/>
      <c r="M146" s="78"/>
      <c r="N146" s="78"/>
      <c r="O146" s="78"/>
      <c r="P146" s="78"/>
    </row>
    <row r="147" spans="1:16" s="40" customFormat="1" x14ac:dyDescent="0.25">
      <c r="C147" s="40" t="s">
        <v>140</v>
      </c>
      <c r="D147" s="40" t="s">
        <v>128</v>
      </c>
      <c r="E147" s="40" t="s">
        <v>111</v>
      </c>
      <c r="F147" s="40">
        <v>0.5</v>
      </c>
      <c r="G147" s="40" t="e">
        <f>#REF!</f>
        <v>#REF!</v>
      </c>
      <c r="H147" s="52" t="str">
        <f t="shared" si="2"/>
        <v>2Exception</v>
      </c>
      <c r="J147" s="78"/>
      <c r="K147" s="78"/>
      <c r="L147" s="78"/>
      <c r="M147" s="78"/>
      <c r="N147" s="78"/>
      <c r="O147" s="78"/>
      <c r="P147" s="78"/>
    </row>
    <row r="148" spans="1:16" s="40" customFormat="1" x14ac:dyDescent="0.25">
      <c r="B148" s="40" t="s">
        <v>150</v>
      </c>
      <c r="D148" s="40" t="s">
        <v>129</v>
      </c>
      <c r="E148" s="68">
        <v>0.45419999999999999</v>
      </c>
      <c r="F148" s="40">
        <v>0.5</v>
      </c>
      <c r="G148" s="68" t="e">
        <f>ROUND(#REF!,4)</f>
        <v>#REF!</v>
      </c>
      <c r="H148" s="52" t="str">
        <f t="shared" si="2"/>
        <v>2Exception</v>
      </c>
      <c r="J148" s="78"/>
      <c r="K148" s="78"/>
      <c r="L148" s="78"/>
      <c r="M148" s="78"/>
      <c r="N148" s="78"/>
      <c r="O148" s="78"/>
      <c r="P148" s="78"/>
    </row>
    <row r="149" spans="1:16" s="40" customFormat="1" x14ac:dyDescent="0.25">
      <c r="B149" s="40" t="s">
        <v>151</v>
      </c>
      <c r="D149" s="40" t="s">
        <v>129</v>
      </c>
      <c r="E149" s="68">
        <v>0.67420000000000002</v>
      </c>
      <c r="F149" s="40">
        <v>0.5</v>
      </c>
      <c r="G149" s="68" t="e">
        <f>ROUND(#REF!,4)</f>
        <v>#REF!</v>
      </c>
      <c r="H149" s="52" t="str">
        <f t="shared" si="2"/>
        <v>2Exception</v>
      </c>
      <c r="J149" s="78"/>
      <c r="K149" s="78"/>
      <c r="L149" s="78"/>
      <c r="M149" s="78"/>
      <c r="N149" s="78"/>
      <c r="O149" s="78"/>
      <c r="P149" s="78"/>
    </row>
    <row r="150" spans="1:16" s="40" customFormat="1" x14ac:dyDescent="0.25">
      <c r="J150" s="78"/>
      <c r="K150" s="78"/>
      <c r="L150" s="78"/>
      <c r="M150" s="78"/>
      <c r="N150" s="78"/>
      <c r="O150" s="78"/>
      <c r="P150" s="78"/>
    </row>
    <row r="151" spans="1:16" s="40" customFormat="1" x14ac:dyDescent="0.25">
      <c r="B151" s="40" t="s">
        <v>152</v>
      </c>
      <c r="D151" s="40" t="s">
        <v>128</v>
      </c>
      <c r="H151" s="40">
        <v>2</v>
      </c>
      <c r="J151" s="78"/>
      <c r="K151" s="78"/>
      <c r="L151" s="78"/>
      <c r="M151" s="78"/>
      <c r="N151" s="78"/>
      <c r="O151" s="78"/>
      <c r="P151" s="78"/>
    </row>
    <row r="152" spans="1:16" s="40" customFormat="1" x14ac:dyDescent="0.25">
      <c r="B152" s="40" t="s">
        <v>153</v>
      </c>
      <c r="D152" s="40" t="s">
        <v>128</v>
      </c>
      <c r="H152" s="40">
        <v>2</v>
      </c>
      <c r="J152" s="78"/>
      <c r="K152" s="78"/>
      <c r="L152" s="78"/>
      <c r="M152" s="78"/>
      <c r="N152" s="78"/>
      <c r="O152" s="78"/>
      <c r="P152" s="78"/>
    </row>
    <row r="153" spans="1:16" s="40" customFormat="1" x14ac:dyDescent="0.25">
      <c r="B153" s="40" t="s">
        <v>154</v>
      </c>
      <c r="D153" s="40" t="s">
        <v>128</v>
      </c>
      <c r="H153" s="40">
        <v>2</v>
      </c>
      <c r="J153" s="78"/>
      <c r="K153" s="78"/>
      <c r="L153" s="78"/>
      <c r="M153" s="78"/>
      <c r="N153" s="78"/>
      <c r="O153" s="78"/>
      <c r="P153" s="78"/>
    </row>
    <row r="154" spans="1:16" s="40" customFormat="1" x14ac:dyDescent="0.25">
      <c r="C154" s="40" t="s">
        <v>130</v>
      </c>
      <c r="H154" s="38">
        <f>SUM(H130:H153)</f>
        <v>6</v>
      </c>
      <c r="J154" s="78"/>
      <c r="K154" s="78"/>
      <c r="L154" s="78"/>
      <c r="M154" s="78"/>
      <c r="N154" s="78"/>
      <c r="O154" s="78"/>
      <c r="P154" s="78"/>
    </row>
    <row r="155" spans="1:16" s="40" customFormat="1" x14ac:dyDescent="0.25">
      <c r="J155" s="78"/>
      <c r="K155" s="78"/>
      <c r="L155" s="78"/>
      <c r="M155" s="78"/>
      <c r="N155" s="78"/>
      <c r="O155" s="78"/>
      <c r="P155" s="78"/>
    </row>
    <row r="156" spans="1:16" s="40" customFormat="1" x14ac:dyDescent="0.25">
      <c r="A156" s="40" t="s">
        <v>155</v>
      </c>
      <c r="B156" s="40">
        <v>1</v>
      </c>
      <c r="D156" s="40" t="s">
        <v>128</v>
      </c>
      <c r="E156" s="40" t="s">
        <v>45</v>
      </c>
      <c r="F156" s="40">
        <v>1</v>
      </c>
      <c r="G156" s="40" t="e">
        <f>#REF!</f>
        <v>#REF!</v>
      </c>
      <c r="H156" s="52" t="str">
        <f t="shared" ref="H156:H170" si="3">gradeGenericQuestion(D156,E156,F156,G156)</f>
        <v>2Exception</v>
      </c>
      <c r="J156" s="78"/>
      <c r="K156" s="78"/>
      <c r="L156" s="78"/>
      <c r="M156" s="78"/>
      <c r="N156" s="78"/>
      <c r="O156" s="78"/>
      <c r="P156" s="78"/>
    </row>
    <row r="157" spans="1:16" s="40" customFormat="1" x14ac:dyDescent="0.25">
      <c r="B157" s="40">
        <v>2</v>
      </c>
      <c r="D157" s="40" t="s">
        <v>128</v>
      </c>
      <c r="E157" s="40" t="s">
        <v>44</v>
      </c>
      <c r="F157" s="40">
        <v>1</v>
      </c>
      <c r="G157" s="40" t="e">
        <f>#REF!</f>
        <v>#REF!</v>
      </c>
      <c r="H157" s="52" t="str">
        <f t="shared" si="3"/>
        <v>2Exception</v>
      </c>
      <c r="J157" s="78"/>
      <c r="K157" s="78"/>
      <c r="L157" s="78"/>
      <c r="M157" s="78"/>
      <c r="N157" s="78"/>
      <c r="O157" s="78"/>
      <c r="P157" s="78"/>
    </row>
    <row r="158" spans="1:16" s="40" customFormat="1" x14ac:dyDescent="0.25">
      <c r="B158" s="40">
        <v>3</v>
      </c>
      <c r="D158" s="40" t="s">
        <v>128</v>
      </c>
      <c r="E158" s="40" t="s">
        <v>43</v>
      </c>
      <c r="F158" s="40">
        <v>1</v>
      </c>
      <c r="G158" s="40" t="e">
        <f>#REF!</f>
        <v>#REF!</v>
      </c>
      <c r="H158" s="52" t="str">
        <f t="shared" si="3"/>
        <v>2Exception</v>
      </c>
      <c r="J158" s="78"/>
      <c r="K158" s="78"/>
      <c r="L158" s="78"/>
      <c r="M158" s="78"/>
      <c r="N158" s="78"/>
      <c r="O158" s="78"/>
      <c r="P158" s="78"/>
    </row>
    <row r="159" spans="1:16" s="40" customFormat="1" x14ac:dyDescent="0.25">
      <c r="B159" s="40">
        <v>4</v>
      </c>
      <c r="D159" s="40" t="s">
        <v>128</v>
      </c>
      <c r="E159" s="40" t="s">
        <v>46</v>
      </c>
      <c r="F159" s="40">
        <v>1</v>
      </c>
      <c r="G159" s="40" t="e">
        <f>#REF!</f>
        <v>#REF!</v>
      </c>
      <c r="H159" s="52" t="str">
        <f t="shared" si="3"/>
        <v>2Exception</v>
      </c>
      <c r="J159" s="78"/>
      <c r="K159" s="78"/>
      <c r="L159" s="78"/>
      <c r="M159" s="78"/>
      <c r="N159" s="78"/>
      <c r="O159" s="78"/>
      <c r="P159" s="78"/>
    </row>
    <row r="160" spans="1:16" s="40" customFormat="1" x14ac:dyDescent="0.25">
      <c r="B160" s="40">
        <v>5</v>
      </c>
      <c r="D160" s="40" t="s">
        <v>128</v>
      </c>
      <c r="E160" s="40" t="s">
        <v>46</v>
      </c>
      <c r="F160" s="40">
        <v>1</v>
      </c>
      <c r="G160" s="40" t="e">
        <f>#REF!</f>
        <v>#REF!</v>
      </c>
      <c r="H160" s="52" t="str">
        <f t="shared" si="3"/>
        <v>2Exception</v>
      </c>
      <c r="J160" s="78"/>
      <c r="K160" s="78"/>
      <c r="L160" s="78"/>
      <c r="M160" s="78"/>
      <c r="N160" s="78"/>
      <c r="O160" s="78"/>
      <c r="P160" s="78"/>
    </row>
    <row r="161" spans="1:16" s="40" customFormat="1" x14ac:dyDescent="0.25">
      <c r="B161" s="40">
        <v>6</v>
      </c>
      <c r="D161" s="40" t="s">
        <v>128</v>
      </c>
      <c r="E161" s="40" t="s">
        <v>43</v>
      </c>
      <c r="F161" s="40">
        <v>1</v>
      </c>
      <c r="G161" s="40" t="e">
        <f>#REF!</f>
        <v>#REF!</v>
      </c>
      <c r="H161" s="52" t="str">
        <f t="shared" si="3"/>
        <v>2Exception</v>
      </c>
      <c r="J161" s="78"/>
      <c r="K161" s="78"/>
      <c r="L161" s="78"/>
      <c r="M161" s="78"/>
      <c r="N161" s="78"/>
      <c r="O161" s="78"/>
      <c r="P161" s="78"/>
    </row>
    <row r="162" spans="1:16" s="40" customFormat="1" x14ac:dyDescent="0.25">
      <c r="B162" s="40">
        <v>7</v>
      </c>
      <c r="D162" s="40" t="s">
        <v>128</v>
      </c>
      <c r="E162" s="40" t="s">
        <v>45</v>
      </c>
      <c r="F162" s="40">
        <v>1</v>
      </c>
      <c r="G162" s="40" t="e">
        <f>#REF!</f>
        <v>#REF!</v>
      </c>
      <c r="H162" s="52" t="str">
        <f t="shared" si="3"/>
        <v>2Exception</v>
      </c>
      <c r="J162" s="78"/>
      <c r="K162" s="78"/>
      <c r="L162" s="78"/>
      <c r="M162" s="78"/>
      <c r="N162" s="78"/>
      <c r="O162" s="78"/>
      <c r="P162" s="78"/>
    </row>
    <row r="163" spans="1:16" s="40" customFormat="1" x14ac:dyDescent="0.25">
      <c r="B163" s="40">
        <v>8</v>
      </c>
      <c r="D163" s="40" t="s">
        <v>128</v>
      </c>
      <c r="E163" s="40" t="s">
        <v>43</v>
      </c>
      <c r="F163" s="40">
        <v>1</v>
      </c>
      <c r="G163" s="40" t="e">
        <f>#REF!</f>
        <v>#REF!</v>
      </c>
      <c r="H163" s="52" t="str">
        <f t="shared" si="3"/>
        <v>2Exception</v>
      </c>
      <c r="J163" s="78"/>
      <c r="K163" s="78"/>
      <c r="L163" s="78"/>
      <c r="M163" s="78"/>
      <c r="N163" s="78"/>
      <c r="O163" s="78"/>
      <c r="P163" s="78"/>
    </row>
    <row r="164" spans="1:16" s="40" customFormat="1" x14ac:dyDescent="0.25">
      <c r="B164" s="40">
        <v>9</v>
      </c>
      <c r="D164" s="40" t="s">
        <v>128</v>
      </c>
      <c r="E164" s="40" t="s">
        <v>43</v>
      </c>
      <c r="F164" s="40">
        <v>1</v>
      </c>
      <c r="G164" s="40" t="e">
        <f>#REF!</f>
        <v>#REF!</v>
      </c>
      <c r="H164" s="52" t="str">
        <f t="shared" si="3"/>
        <v>2Exception</v>
      </c>
      <c r="J164" s="78"/>
      <c r="K164" s="78"/>
      <c r="L164" s="78"/>
      <c r="M164" s="78"/>
      <c r="N164" s="78"/>
      <c r="O164" s="78"/>
      <c r="P164" s="78"/>
    </row>
    <row r="165" spans="1:16" s="40" customFormat="1" x14ac:dyDescent="0.25">
      <c r="B165" s="40">
        <v>10</v>
      </c>
      <c r="D165" s="40" t="s">
        <v>128</v>
      </c>
      <c r="E165" s="40" t="s">
        <v>45</v>
      </c>
      <c r="F165" s="40">
        <v>1</v>
      </c>
      <c r="G165" s="40" t="e">
        <f>#REF!</f>
        <v>#REF!</v>
      </c>
      <c r="H165" s="52" t="str">
        <f t="shared" si="3"/>
        <v>2Exception</v>
      </c>
      <c r="J165" s="78"/>
      <c r="K165" s="78"/>
      <c r="L165" s="78"/>
      <c r="M165" s="78"/>
      <c r="N165" s="78"/>
      <c r="O165" s="78"/>
      <c r="P165" s="78"/>
    </row>
    <row r="166" spans="1:16" s="40" customFormat="1" x14ac:dyDescent="0.25">
      <c r="B166" s="40">
        <v>11</v>
      </c>
      <c r="D166" s="40" t="s">
        <v>128</v>
      </c>
      <c r="E166" s="40" t="s">
        <v>44</v>
      </c>
      <c r="F166" s="40">
        <v>1</v>
      </c>
      <c r="G166" s="40" t="e">
        <f>#REF!</f>
        <v>#REF!</v>
      </c>
      <c r="H166" s="52" t="str">
        <f t="shared" si="3"/>
        <v>2Exception</v>
      </c>
    </row>
    <row r="167" spans="1:16" s="40" customFormat="1" x14ac:dyDescent="0.25">
      <c r="B167" s="40">
        <v>12</v>
      </c>
      <c r="D167" s="40" t="s">
        <v>128</v>
      </c>
      <c r="E167" s="40" t="s">
        <v>46</v>
      </c>
      <c r="F167" s="40">
        <v>1</v>
      </c>
      <c r="G167" s="40" t="e">
        <f>#REF!</f>
        <v>#REF!</v>
      </c>
      <c r="H167" s="52" t="str">
        <f t="shared" si="3"/>
        <v>2Exception</v>
      </c>
    </row>
    <row r="168" spans="1:16" s="40" customFormat="1" x14ac:dyDescent="0.25">
      <c r="B168" s="40">
        <v>13</v>
      </c>
      <c r="D168" s="40" t="s">
        <v>128</v>
      </c>
      <c r="E168" s="40" t="s">
        <v>44</v>
      </c>
      <c r="F168" s="40">
        <v>1</v>
      </c>
      <c r="G168" s="40" t="e">
        <f>#REF!</f>
        <v>#REF!</v>
      </c>
      <c r="H168" s="52" t="str">
        <f t="shared" si="3"/>
        <v>2Exception</v>
      </c>
    </row>
    <row r="169" spans="1:16" s="40" customFormat="1" x14ac:dyDescent="0.25">
      <c r="B169" s="40">
        <v>14</v>
      </c>
      <c r="D169" s="40" t="s">
        <v>128</v>
      </c>
      <c r="E169" s="40" t="s">
        <v>73</v>
      </c>
      <c r="F169" s="40">
        <v>1</v>
      </c>
      <c r="G169" s="40" t="e">
        <f>#REF!</f>
        <v>#REF!</v>
      </c>
      <c r="H169" s="52" t="str">
        <f t="shared" si="3"/>
        <v>2Exception</v>
      </c>
    </row>
    <row r="170" spans="1:16" s="40" customFormat="1" x14ac:dyDescent="0.25">
      <c r="B170" s="40">
        <v>15</v>
      </c>
      <c r="D170" s="40" t="s">
        <v>128</v>
      </c>
      <c r="E170" s="40" t="s">
        <v>73</v>
      </c>
      <c r="F170" s="40">
        <v>1</v>
      </c>
      <c r="G170" s="40" t="e">
        <f>#REF!</f>
        <v>#REF!</v>
      </c>
      <c r="H170" s="52" t="str">
        <f t="shared" si="3"/>
        <v>2Exception</v>
      </c>
    </row>
    <row r="171" spans="1:16" s="40" customFormat="1" x14ac:dyDescent="0.25">
      <c r="C171" s="40" t="s">
        <v>130</v>
      </c>
      <c r="H171" s="38">
        <f>SUM(H156:H170)</f>
        <v>0</v>
      </c>
    </row>
    <row r="172" spans="1:16" x14ac:dyDescent="0.25">
      <c r="A172" s="40"/>
      <c r="B172" s="40"/>
      <c r="C172" s="40"/>
      <c r="D172" s="40"/>
      <c r="E172" s="40"/>
      <c r="F172" s="40"/>
      <c r="G172" s="40"/>
      <c r="H172" s="40"/>
      <c r="I172" s="40"/>
    </row>
  </sheetData>
  <sheetProtection algorithmName="SHA-512" hashValue="eSkHJiss9QlRoqdeYYxL9+6akVCJgm509mATxiWy3RJXQF86Ix4YeKUERqALbryEHNIszKWKH14dsv5bOJwIRw==" saltValue="0/Ss8nQ2bgzBMyA9CVSeRw==" spinCount="100000" sheet="1" objects="1" scenarios="1"/>
  <mergeCells count="3">
    <mergeCell ref="H10:J10"/>
    <mergeCell ref="G33:M33"/>
    <mergeCell ref="G34:M34"/>
  </mergeCells>
  <pageMargins left="0.7" right="0.7" top="0.75" bottom="0.75" header="0.3" footer="0.3"/>
  <pageSetup scale="54" orientation="landscape" r:id="rId1"/>
  <ignoredErrors>
    <ignoredError sqref="H43" formulaRange="1"/>
  </ignoredError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6C7D5B-9EAB-45CB-8B7B-08F17DFEF942}">
  <sheetPr codeName="Sheet3"/>
  <dimension ref="A1:A37"/>
  <sheetViews>
    <sheetView workbookViewId="0"/>
  </sheetViews>
  <sheetFormatPr defaultRowHeight="15" x14ac:dyDescent="0.25"/>
  <cols>
    <col min="1" max="1" width="53.28515625" customWidth="1"/>
  </cols>
  <sheetData>
    <row r="1" spans="1:1" x14ac:dyDescent="0.25">
      <c r="A1" s="43" t="s">
        <v>11</v>
      </c>
    </row>
    <row r="2" spans="1:1" x14ac:dyDescent="0.25">
      <c r="A2" s="44" t="s">
        <v>15</v>
      </c>
    </row>
    <row r="3" spans="1:1" x14ac:dyDescent="0.25">
      <c r="A3" s="45" t="s">
        <v>18</v>
      </c>
    </row>
    <row r="4" spans="1:1" x14ac:dyDescent="0.25">
      <c r="A4" s="44" t="s">
        <v>21</v>
      </c>
    </row>
    <row r="5" spans="1:1" x14ac:dyDescent="0.25">
      <c r="A5" s="45" t="s">
        <v>0</v>
      </c>
    </row>
    <row r="6" spans="1:1" x14ac:dyDescent="0.25">
      <c r="A6" s="44" t="s">
        <v>5</v>
      </c>
    </row>
    <row r="7" spans="1:1" x14ac:dyDescent="0.25">
      <c r="A7" s="45" t="s">
        <v>24</v>
      </c>
    </row>
    <row r="8" spans="1:1" x14ac:dyDescent="0.25">
      <c r="A8" s="44" t="s">
        <v>26</v>
      </c>
    </row>
    <row r="9" spans="1:1" x14ac:dyDescent="0.25">
      <c r="A9" s="45" t="s">
        <v>25</v>
      </c>
    </row>
    <row r="10" spans="1:1" x14ac:dyDescent="0.25">
      <c r="A10" s="44" t="s">
        <v>39</v>
      </c>
    </row>
    <row r="11" spans="1:1" x14ac:dyDescent="0.25">
      <c r="A11" s="45" t="s">
        <v>4</v>
      </c>
    </row>
    <row r="12" spans="1:1" x14ac:dyDescent="0.25">
      <c r="A12" s="45" t="s">
        <v>108</v>
      </c>
    </row>
    <row r="13" spans="1:1" x14ac:dyDescent="0.25">
      <c r="A13" s="44" t="s">
        <v>42</v>
      </c>
    </row>
    <row r="14" spans="1:1" x14ac:dyDescent="0.25">
      <c r="A14" s="45" t="s">
        <v>40</v>
      </c>
    </row>
    <row r="15" spans="1:1" x14ac:dyDescent="0.25">
      <c r="A15" s="44" t="s">
        <v>41</v>
      </c>
    </row>
    <row r="16" spans="1:1" x14ac:dyDescent="0.25">
      <c r="A16" s="45" t="s">
        <v>9</v>
      </c>
    </row>
    <row r="17" spans="1:1" x14ac:dyDescent="0.25">
      <c r="A17" s="44" t="s">
        <v>28</v>
      </c>
    </row>
    <row r="18" spans="1:1" x14ac:dyDescent="0.25">
      <c r="A18" s="45" t="s">
        <v>29</v>
      </c>
    </row>
    <row r="19" spans="1:1" x14ac:dyDescent="0.25">
      <c r="A19" s="44" t="s">
        <v>30</v>
      </c>
    </row>
    <row r="20" spans="1:1" x14ac:dyDescent="0.25">
      <c r="A20" s="45" t="s">
        <v>3</v>
      </c>
    </row>
    <row r="21" spans="1:1" x14ac:dyDescent="0.25">
      <c r="A21" s="44" t="s">
        <v>31</v>
      </c>
    </row>
    <row r="22" spans="1:1" x14ac:dyDescent="0.25">
      <c r="A22" s="45" t="s">
        <v>32</v>
      </c>
    </row>
    <row r="23" spans="1:1" x14ac:dyDescent="0.25">
      <c r="A23" s="44" t="s">
        <v>33</v>
      </c>
    </row>
    <row r="24" spans="1:1" x14ac:dyDescent="0.25">
      <c r="A24" s="45" t="s">
        <v>2</v>
      </c>
    </row>
    <row r="25" spans="1:1" x14ac:dyDescent="0.25">
      <c r="A25" s="44" t="s">
        <v>1</v>
      </c>
    </row>
    <row r="26" spans="1:1" x14ac:dyDescent="0.25">
      <c r="A26" s="45" t="s">
        <v>34</v>
      </c>
    </row>
    <row r="27" spans="1:1" x14ac:dyDescent="0.25">
      <c r="A27" s="44" t="s">
        <v>6</v>
      </c>
    </row>
    <row r="28" spans="1:1" x14ac:dyDescent="0.25">
      <c r="A28" s="45" t="s">
        <v>109</v>
      </c>
    </row>
    <row r="29" spans="1:1" x14ac:dyDescent="0.25">
      <c r="A29" s="44" t="s">
        <v>35</v>
      </c>
    </row>
    <row r="30" spans="1:1" x14ac:dyDescent="0.25">
      <c r="A30" s="45" t="s">
        <v>36</v>
      </c>
    </row>
    <row r="31" spans="1:1" x14ac:dyDescent="0.25">
      <c r="A31" s="44"/>
    </row>
    <row r="32" spans="1:1" x14ac:dyDescent="0.25">
      <c r="A32" s="45" t="s">
        <v>37</v>
      </c>
    </row>
    <row r="33" spans="1:1" x14ac:dyDescent="0.25">
      <c r="A33" s="44" t="s">
        <v>47</v>
      </c>
    </row>
    <row r="34" spans="1:1" x14ac:dyDescent="0.25">
      <c r="A34" s="45" t="s">
        <v>10</v>
      </c>
    </row>
    <row r="35" spans="1:1" x14ac:dyDescent="0.25">
      <c r="A35" s="44" t="s">
        <v>38</v>
      </c>
    </row>
    <row r="36" spans="1:1" x14ac:dyDescent="0.25">
      <c r="A36" s="44"/>
    </row>
    <row r="37" spans="1:1" x14ac:dyDescent="0.25">
      <c r="A37" s="45"/>
    </row>
  </sheetData>
  <sheetProtection algorithmName="SHA-512" hashValue="tO1iMa0Tjxui1rbUzbKUICJhaELZv5fUTyjAdBMEArcKKcAOsYJGplBRmkDoGwknWONrk/qrTbIYYjdDohN27Q==" saltValue="mEZ1Z2P0GWP0nYat5bDoPQ==" spinCount="100000" sheet="1" objects="1" scenarios="1"/>
  <sortState xmlns:xlrd2="http://schemas.microsoft.com/office/spreadsheetml/2017/richdata2" ref="A2:A35">
    <sortCondition ref="A2:A3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52B6C-F80A-45AA-86EF-F5CBC05B9A47}">
  <dimension ref="B2:E11"/>
  <sheetViews>
    <sheetView workbookViewId="0">
      <selection activeCell="D11" sqref="D11"/>
    </sheetView>
  </sheetViews>
  <sheetFormatPr defaultRowHeight="15" x14ac:dyDescent="0.25"/>
  <sheetData>
    <row r="2" spans="2:5" ht="15.75" thickBot="1" x14ac:dyDescent="0.3"/>
    <row r="3" spans="2:5" ht="45.75" thickBot="1" x14ac:dyDescent="0.3">
      <c r="B3" s="26" t="s">
        <v>113</v>
      </c>
      <c r="C3" s="107"/>
      <c r="D3" s="28" t="s">
        <v>51</v>
      </c>
      <c r="E3" s="28" t="s">
        <v>52</v>
      </c>
    </row>
    <row r="4" spans="2:5" ht="15.75" thickBot="1" x14ac:dyDescent="0.3">
      <c r="B4" s="29">
        <v>1</v>
      </c>
      <c r="C4" s="108"/>
      <c r="D4" s="109">
        <f>Answer1!A2</f>
        <v>3.833331823348999</v>
      </c>
      <c r="E4" s="30">
        <v>10</v>
      </c>
    </row>
    <row r="5" spans="2:5" ht="15.75" thickBot="1" x14ac:dyDescent="0.3">
      <c r="B5" s="29">
        <v>2</v>
      </c>
      <c r="C5" s="108"/>
      <c r="D5" s="109">
        <f>Answer2!A1</f>
        <v>1.6046516895294189</v>
      </c>
      <c r="E5" s="30">
        <v>10</v>
      </c>
    </row>
    <row r="6" spans="2:5" ht="15.75" thickBot="1" x14ac:dyDescent="0.3">
      <c r="B6" s="29">
        <v>3</v>
      </c>
      <c r="C6" s="108"/>
      <c r="D6" s="109">
        <f>Answer3!A1</f>
        <v>10.000003814697266</v>
      </c>
      <c r="E6" s="30">
        <v>10</v>
      </c>
    </row>
    <row r="7" spans="2:5" ht="15.75" thickBot="1" x14ac:dyDescent="0.3">
      <c r="B7" s="29">
        <v>4</v>
      </c>
      <c r="C7" s="108"/>
      <c r="D7" s="109">
        <f>Answer4!A2</f>
        <v>10.000012397766113</v>
      </c>
      <c r="E7" s="30">
        <v>10</v>
      </c>
    </row>
    <row r="8" spans="2:5" ht="15.75" thickBot="1" x14ac:dyDescent="0.3">
      <c r="B8" s="29">
        <v>5</v>
      </c>
      <c r="C8" s="108"/>
      <c r="D8" s="109">
        <f>Answer5!A2</f>
        <v>10</v>
      </c>
      <c r="E8" s="30">
        <v>10</v>
      </c>
    </row>
    <row r="9" spans="2:5" ht="15.75" thickBot="1" x14ac:dyDescent="0.3">
      <c r="B9" s="29">
        <v>6</v>
      </c>
      <c r="C9" s="108"/>
      <c r="D9" s="110">
        <f>Answer6!A2</f>
        <v>1.7073163986206055</v>
      </c>
      <c r="E9" s="30">
        <v>10</v>
      </c>
    </row>
    <row r="10" spans="2:5" ht="15.75" thickBot="1" x14ac:dyDescent="0.3">
      <c r="B10" s="97">
        <v>7</v>
      </c>
      <c r="C10" s="111"/>
      <c r="D10" s="112">
        <f>Answer7!A2</f>
        <v>9.4444408416748047</v>
      </c>
      <c r="E10" s="30">
        <v>10</v>
      </c>
    </row>
    <row r="11" spans="2:5" x14ac:dyDescent="0.25">
      <c r="B11" s="98" t="s">
        <v>181</v>
      </c>
      <c r="C11" s="113"/>
      <c r="D11" s="114">
        <f>SUM(D4:D10)</f>
        <v>46.589756965637207</v>
      </c>
      <c r="E11" s="101">
        <f>SUM(E4:E10)</f>
        <v>70</v>
      </c>
    </row>
  </sheetData>
  <sheetProtection algorithmName="SHA-512" hashValue="1tGMsl+yMOmFRqqP8OFdZJ4XyDGCR5QXGk0QEMCZGAzHEDbp4hk6enP3Ngcfj3BSYn8UqnL3nI8Vo5WJK7qYwg==" saltValue="iZQ/sfkW4HUWbm4BPCxvwg==" spinCount="100000"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43412-5FD3-4953-B5CA-5425F5D9980B}">
  <sheetPr codeName="Sheet2"/>
  <dimension ref="A1:L34"/>
  <sheetViews>
    <sheetView workbookViewId="0">
      <selection activeCell="P17" sqref="P17"/>
    </sheetView>
  </sheetViews>
  <sheetFormatPr defaultRowHeight="15" x14ac:dyDescent="0.25"/>
  <cols>
    <col min="1" max="1" width="21.7109375" customWidth="1"/>
    <col min="2" max="2" width="17.140625" customWidth="1"/>
    <col min="3" max="3" width="12" customWidth="1"/>
  </cols>
  <sheetData>
    <row r="1" spans="1:12" x14ac:dyDescent="0.25">
      <c r="A1" s="88" t="s">
        <v>166</v>
      </c>
      <c r="D1" t="s">
        <v>177</v>
      </c>
      <c r="H1" t="s">
        <v>186</v>
      </c>
      <c r="I1" s="94" t="s">
        <v>187</v>
      </c>
    </row>
    <row r="2" spans="1:12" ht="15.75" x14ac:dyDescent="0.25">
      <c r="A2" s="89" t="s">
        <v>534</v>
      </c>
    </row>
    <row r="3" spans="1:12" ht="38.450000000000003" customHeight="1" x14ac:dyDescent="0.25">
      <c r="A3" t="s">
        <v>172</v>
      </c>
    </row>
    <row r="5" spans="1:12" x14ac:dyDescent="0.25">
      <c r="A5" s="86" t="s">
        <v>544</v>
      </c>
      <c r="B5" s="86" t="s">
        <v>545</v>
      </c>
      <c r="C5" s="86" t="s">
        <v>546</v>
      </c>
      <c r="D5" t="s">
        <v>547</v>
      </c>
    </row>
    <row r="6" spans="1:12" x14ac:dyDescent="0.25">
      <c r="A6" s="86">
        <v>491</v>
      </c>
      <c r="B6" s="86">
        <v>50</v>
      </c>
      <c r="C6" s="86">
        <v>248</v>
      </c>
      <c r="D6" t="s">
        <v>295</v>
      </c>
      <c r="L6" s="119" t="s">
        <v>551</v>
      </c>
    </row>
    <row r="7" spans="1:12" x14ac:dyDescent="0.25">
      <c r="A7">
        <v>512</v>
      </c>
      <c r="B7">
        <v>6</v>
      </c>
      <c r="C7">
        <v>334</v>
      </c>
      <c r="D7" t="s">
        <v>295</v>
      </c>
      <c r="L7" s="119" t="s">
        <v>552</v>
      </c>
    </row>
    <row r="8" spans="1:12" x14ac:dyDescent="0.25">
      <c r="A8">
        <v>511</v>
      </c>
      <c r="B8">
        <v>6</v>
      </c>
      <c r="C8">
        <v>390</v>
      </c>
      <c r="D8" t="s">
        <v>295</v>
      </c>
      <c r="L8" s="119" t="s">
        <v>553</v>
      </c>
    </row>
    <row r="9" spans="1:12" x14ac:dyDescent="0.25">
      <c r="A9">
        <v>510</v>
      </c>
      <c r="B9">
        <v>6</v>
      </c>
      <c r="C9">
        <v>406</v>
      </c>
      <c r="D9" t="s">
        <v>295</v>
      </c>
      <c r="L9" s="119" t="s">
        <v>554</v>
      </c>
    </row>
    <row r="10" spans="1:12" x14ac:dyDescent="0.25">
      <c r="A10">
        <v>490</v>
      </c>
      <c r="B10">
        <v>50</v>
      </c>
      <c r="C10">
        <v>587</v>
      </c>
      <c r="D10" t="s">
        <v>295</v>
      </c>
    </row>
    <row r="11" spans="1:12" x14ac:dyDescent="0.25">
      <c r="A11">
        <v>489</v>
      </c>
      <c r="B11">
        <v>50</v>
      </c>
      <c r="C11">
        <v>606</v>
      </c>
      <c r="D11" t="s">
        <v>295</v>
      </c>
    </row>
    <row r="12" spans="1:12" x14ac:dyDescent="0.25">
      <c r="A12">
        <v>513</v>
      </c>
      <c r="B12">
        <v>6</v>
      </c>
      <c r="C12">
        <v>640</v>
      </c>
      <c r="D12" t="s">
        <v>295</v>
      </c>
    </row>
    <row r="13" spans="1:12" x14ac:dyDescent="0.25">
      <c r="A13">
        <v>507</v>
      </c>
      <c r="B13">
        <v>6</v>
      </c>
      <c r="C13">
        <v>673</v>
      </c>
      <c r="D13" t="s">
        <v>295</v>
      </c>
    </row>
    <row r="14" spans="1:12" x14ac:dyDescent="0.25">
      <c r="A14">
        <v>508</v>
      </c>
      <c r="B14">
        <v>6</v>
      </c>
      <c r="C14">
        <v>681</v>
      </c>
      <c r="D14" t="s">
        <v>295</v>
      </c>
    </row>
    <row r="15" spans="1:12" x14ac:dyDescent="0.25">
      <c r="A15">
        <v>509</v>
      </c>
      <c r="B15">
        <v>6</v>
      </c>
      <c r="C15">
        <v>689</v>
      </c>
      <c r="D15" t="s">
        <v>295</v>
      </c>
    </row>
    <row r="16" spans="1:12" x14ac:dyDescent="0.25">
      <c r="A16">
        <v>348</v>
      </c>
      <c r="B16">
        <v>50</v>
      </c>
      <c r="C16">
        <v>251</v>
      </c>
      <c r="D16" t="s">
        <v>192</v>
      </c>
    </row>
    <row r="17" spans="1:4" x14ac:dyDescent="0.25">
      <c r="A17">
        <v>947</v>
      </c>
      <c r="B17">
        <v>20</v>
      </c>
      <c r="C17">
        <v>254</v>
      </c>
      <c r="D17" t="s">
        <v>192</v>
      </c>
    </row>
    <row r="18" spans="1:4" x14ac:dyDescent="0.25">
      <c r="A18">
        <v>946</v>
      </c>
      <c r="B18">
        <v>20</v>
      </c>
      <c r="C18">
        <v>257</v>
      </c>
      <c r="D18" t="s">
        <v>192</v>
      </c>
    </row>
    <row r="19" spans="1:4" x14ac:dyDescent="0.25">
      <c r="A19">
        <v>813</v>
      </c>
      <c r="B19">
        <v>20</v>
      </c>
      <c r="C19">
        <v>260</v>
      </c>
      <c r="D19" t="s">
        <v>192</v>
      </c>
    </row>
    <row r="20" spans="1:4" x14ac:dyDescent="0.25">
      <c r="A20">
        <v>812</v>
      </c>
      <c r="B20">
        <v>20</v>
      </c>
      <c r="C20">
        <v>264</v>
      </c>
      <c r="D20" t="s">
        <v>192</v>
      </c>
    </row>
    <row r="21" spans="1:4" x14ac:dyDescent="0.25">
      <c r="A21">
        <v>811</v>
      </c>
      <c r="B21">
        <v>20</v>
      </c>
      <c r="C21">
        <v>267</v>
      </c>
      <c r="D21" t="s">
        <v>192</v>
      </c>
    </row>
    <row r="22" spans="1:4" x14ac:dyDescent="0.25">
      <c r="A22">
        <v>810</v>
      </c>
      <c r="B22">
        <v>20</v>
      </c>
      <c r="C22">
        <v>270</v>
      </c>
      <c r="D22" t="s">
        <v>192</v>
      </c>
    </row>
    <row r="23" spans="1:4" x14ac:dyDescent="0.25">
      <c r="A23">
        <v>809</v>
      </c>
      <c r="B23">
        <v>20</v>
      </c>
      <c r="C23">
        <v>273</v>
      </c>
      <c r="D23" t="s">
        <v>192</v>
      </c>
    </row>
    <row r="24" spans="1:4" x14ac:dyDescent="0.25">
      <c r="A24">
        <v>808</v>
      </c>
      <c r="B24">
        <v>20</v>
      </c>
      <c r="C24">
        <v>276</v>
      </c>
      <c r="D24" t="s">
        <v>192</v>
      </c>
    </row>
    <row r="25" spans="1:4" x14ac:dyDescent="0.25">
      <c r="A25">
        <v>345</v>
      </c>
      <c r="B25">
        <v>60</v>
      </c>
      <c r="C25">
        <v>300</v>
      </c>
      <c r="D25" t="s">
        <v>192</v>
      </c>
    </row>
    <row r="26" spans="1:4" x14ac:dyDescent="0.25">
      <c r="A26">
        <v>348</v>
      </c>
      <c r="B26">
        <v>60</v>
      </c>
      <c r="C26">
        <v>337</v>
      </c>
      <c r="D26" t="s">
        <v>192</v>
      </c>
    </row>
    <row r="27" spans="1:4" x14ac:dyDescent="0.25">
      <c r="A27">
        <v>341</v>
      </c>
      <c r="B27">
        <v>60</v>
      </c>
      <c r="C27">
        <v>339</v>
      </c>
      <c r="D27" t="s">
        <v>192</v>
      </c>
    </row>
    <row r="28" spans="1:4" x14ac:dyDescent="0.25">
      <c r="A28">
        <v>349</v>
      </c>
      <c r="B28">
        <v>60</v>
      </c>
      <c r="C28">
        <v>342</v>
      </c>
      <c r="D28" t="s">
        <v>192</v>
      </c>
    </row>
    <row r="29" spans="1:4" x14ac:dyDescent="0.25">
      <c r="A29">
        <v>346</v>
      </c>
      <c r="B29">
        <v>50</v>
      </c>
      <c r="C29">
        <v>476</v>
      </c>
      <c r="D29" t="s">
        <v>192</v>
      </c>
    </row>
    <row r="30" spans="1:4" x14ac:dyDescent="0.25">
      <c r="A30">
        <v>343</v>
      </c>
      <c r="B30">
        <v>60</v>
      </c>
      <c r="C30">
        <v>499</v>
      </c>
      <c r="D30" t="s">
        <v>192</v>
      </c>
    </row>
    <row r="31" spans="1:4" x14ac:dyDescent="0.25">
      <c r="A31">
        <v>343</v>
      </c>
      <c r="B31">
        <v>50</v>
      </c>
      <c r="C31">
        <v>606</v>
      </c>
      <c r="D31" t="s">
        <v>192</v>
      </c>
    </row>
    <row r="32" spans="1:4" x14ac:dyDescent="0.25">
      <c r="A32">
        <v>346</v>
      </c>
      <c r="B32">
        <v>60</v>
      </c>
      <c r="C32">
        <v>641</v>
      </c>
      <c r="D32" t="s">
        <v>192</v>
      </c>
    </row>
    <row r="33" spans="1:4" x14ac:dyDescent="0.25">
      <c r="A33">
        <v>523</v>
      </c>
      <c r="B33">
        <v>50</v>
      </c>
      <c r="C33">
        <v>209</v>
      </c>
      <c r="D33" t="s">
        <v>193</v>
      </c>
    </row>
    <row r="34" spans="1:4" x14ac:dyDescent="0.25">
      <c r="A34">
        <v>524</v>
      </c>
      <c r="B34">
        <v>50</v>
      </c>
      <c r="C34">
        <v>228</v>
      </c>
      <c r="D34" t="s">
        <v>193</v>
      </c>
    </row>
  </sheetData>
  <sheetProtection algorithmName="SHA-512" hashValue="b5AKv2e2gXGtcmfzrXLaohPcq/kqg/njRfMxc9zdPBqKjBA1UQnpTwMt67ODWlZYdASsGQWPdCGFzhON1/anNA==" saltValue="mj/IPedGEPWbDzjFlCX3jQ==" spinCount="100000" sheet="1" objects="1" scenarios="1"/>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5730F3-1400-4741-9CC2-F7D5D8690E73}">
  <sheetPr codeName="Sheet4"/>
  <dimension ref="A1:G33"/>
  <sheetViews>
    <sheetView workbookViewId="0">
      <selection activeCell="F4" sqref="F4"/>
    </sheetView>
  </sheetViews>
  <sheetFormatPr defaultRowHeight="15" x14ac:dyDescent="0.25"/>
  <cols>
    <col min="1" max="1" width="40.5703125" customWidth="1"/>
  </cols>
  <sheetData>
    <row r="1" spans="1:7" x14ac:dyDescent="0.25">
      <c r="A1" s="92"/>
    </row>
    <row r="2" spans="1:7" x14ac:dyDescent="0.25">
      <c r="A2" s="92" cm="1">
        <f t="array" ref="A2">gradeGenericQuestionRange("Text",A4:D33,10,Question1!A5:D333)</f>
        <v>3.833331823348999</v>
      </c>
      <c r="F2" s="90" t="s">
        <v>194</v>
      </c>
    </row>
    <row r="3" spans="1:7" x14ac:dyDescent="0.25">
      <c r="F3" s="90" t="s">
        <v>195</v>
      </c>
    </row>
    <row r="4" spans="1:7" x14ac:dyDescent="0.25">
      <c r="A4" s="86" t="s">
        <v>188</v>
      </c>
      <c r="B4" s="86" t="s">
        <v>189</v>
      </c>
      <c r="C4" s="86" t="s">
        <v>190</v>
      </c>
      <c r="D4" t="s">
        <v>191</v>
      </c>
      <c r="F4" s="90" t="s">
        <v>298</v>
      </c>
    </row>
    <row r="5" spans="1:7" x14ac:dyDescent="0.25">
      <c r="A5" s="86">
        <v>509</v>
      </c>
      <c r="B5" s="86">
        <v>6</v>
      </c>
      <c r="C5" s="86">
        <v>689</v>
      </c>
      <c r="D5" t="s">
        <v>295</v>
      </c>
      <c r="F5" s="90" t="s">
        <v>196</v>
      </c>
    </row>
    <row r="6" spans="1:7" x14ac:dyDescent="0.25">
      <c r="A6">
        <v>508</v>
      </c>
      <c r="B6">
        <v>6</v>
      </c>
      <c r="C6">
        <v>681</v>
      </c>
      <c r="D6" t="s">
        <v>295</v>
      </c>
    </row>
    <row r="7" spans="1:7" x14ac:dyDescent="0.25">
      <c r="A7">
        <v>507</v>
      </c>
      <c r="B7">
        <v>6</v>
      </c>
      <c r="C7">
        <v>673</v>
      </c>
      <c r="D7" t="s">
        <v>295</v>
      </c>
    </row>
    <row r="8" spans="1:7" x14ac:dyDescent="0.25">
      <c r="A8">
        <v>513</v>
      </c>
      <c r="B8">
        <v>6</v>
      </c>
      <c r="C8">
        <v>640</v>
      </c>
      <c r="D8" t="s">
        <v>295</v>
      </c>
    </row>
    <row r="9" spans="1:7" x14ac:dyDescent="0.25">
      <c r="A9">
        <v>489</v>
      </c>
      <c r="B9">
        <v>50</v>
      </c>
      <c r="C9">
        <v>606</v>
      </c>
      <c r="D9" t="s">
        <v>295</v>
      </c>
    </row>
    <row r="10" spans="1:7" x14ac:dyDescent="0.25">
      <c r="A10">
        <v>490</v>
      </c>
      <c r="B10">
        <v>50</v>
      </c>
      <c r="C10">
        <v>587</v>
      </c>
      <c r="D10" t="s">
        <v>295</v>
      </c>
    </row>
    <row r="11" spans="1:7" x14ac:dyDescent="0.25">
      <c r="A11">
        <v>510</v>
      </c>
      <c r="B11">
        <v>6</v>
      </c>
      <c r="C11">
        <v>406</v>
      </c>
      <c r="D11" t="s">
        <v>295</v>
      </c>
    </row>
    <row r="12" spans="1:7" x14ac:dyDescent="0.25">
      <c r="A12">
        <v>511</v>
      </c>
      <c r="B12">
        <v>6</v>
      </c>
      <c r="C12">
        <v>390</v>
      </c>
      <c r="D12" t="s">
        <v>295</v>
      </c>
    </row>
    <row r="13" spans="1:7" x14ac:dyDescent="0.25">
      <c r="A13">
        <v>512</v>
      </c>
      <c r="B13">
        <v>6</v>
      </c>
      <c r="C13">
        <v>334</v>
      </c>
      <c r="D13" t="s">
        <v>295</v>
      </c>
      <c r="G13" t="s">
        <v>297</v>
      </c>
    </row>
    <row r="14" spans="1:7" x14ac:dyDescent="0.25">
      <c r="A14">
        <v>491</v>
      </c>
      <c r="B14">
        <v>50</v>
      </c>
      <c r="C14">
        <v>248</v>
      </c>
      <c r="D14" t="s">
        <v>295</v>
      </c>
    </row>
    <row r="15" spans="1:7" x14ac:dyDescent="0.25">
      <c r="A15">
        <v>346</v>
      </c>
      <c r="B15">
        <v>60</v>
      </c>
      <c r="C15">
        <v>641</v>
      </c>
      <c r="D15" t="s">
        <v>192</v>
      </c>
    </row>
    <row r="16" spans="1:7" x14ac:dyDescent="0.25">
      <c r="A16">
        <v>343</v>
      </c>
      <c r="B16">
        <v>50</v>
      </c>
      <c r="C16">
        <v>606</v>
      </c>
      <c r="D16" t="s">
        <v>192</v>
      </c>
    </row>
    <row r="17" spans="1:4" x14ac:dyDescent="0.25">
      <c r="A17">
        <v>343</v>
      </c>
      <c r="B17">
        <v>60</v>
      </c>
      <c r="C17">
        <v>499</v>
      </c>
      <c r="D17" t="s">
        <v>192</v>
      </c>
    </row>
    <row r="18" spans="1:4" x14ac:dyDescent="0.25">
      <c r="A18">
        <v>346</v>
      </c>
      <c r="B18">
        <v>50</v>
      </c>
      <c r="C18">
        <v>476</v>
      </c>
      <c r="D18" t="s">
        <v>192</v>
      </c>
    </row>
    <row r="19" spans="1:4" x14ac:dyDescent="0.25">
      <c r="A19">
        <v>349</v>
      </c>
      <c r="B19">
        <v>60</v>
      </c>
      <c r="C19">
        <v>342</v>
      </c>
      <c r="D19" t="s">
        <v>192</v>
      </c>
    </row>
    <row r="20" spans="1:4" x14ac:dyDescent="0.25">
      <c r="A20">
        <v>341</v>
      </c>
      <c r="B20">
        <v>60</v>
      </c>
      <c r="C20">
        <v>339</v>
      </c>
      <c r="D20" t="s">
        <v>192</v>
      </c>
    </row>
    <row r="21" spans="1:4" x14ac:dyDescent="0.25">
      <c r="A21">
        <v>348</v>
      </c>
      <c r="B21">
        <v>60</v>
      </c>
      <c r="C21">
        <v>337</v>
      </c>
      <c r="D21" t="s">
        <v>192</v>
      </c>
    </row>
    <row r="22" spans="1:4" x14ac:dyDescent="0.25">
      <c r="A22">
        <v>345</v>
      </c>
      <c r="B22">
        <v>60</v>
      </c>
      <c r="C22">
        <v>300</v>
      </c>
      <c r="D22" t="s">
        <v>192</v>
      </c>
    </row>
    <row r="23" spans="1:4" x14ac:dyDescent="0.25">
      <c r="A23">
        <v>808</v>
      </c>
      <c r="B23">
        <v>20</v>
      </c>
      <c r="C23">
        <v>276</v>
      </c>
      <c r="D23" t="s">
        <v>192</v>
      </c>
    </row>
    <row r="24" spans="1:4" x14ac:dyDescent="0.25">
      <c r="A24">
        <v>809</v>
      </c>
      <c r="B24">
        <v>20</v>
      </c>
      <c r="C24">
        <v>273</v>
      </c>
      <c r="D24" t="s">
        <v>192</v>
      </c>
    </row>
    <row r="25" spans="1:4" x14ac:dyDescent="0.25">
      <c r="A25">
        <v>810</v>
      </c>
      <c r="B25">
        <v>20</v>
      </c>
      <c r="C25">
        <v>270</v>
      </c>
      <c r="D25" t="s">
        <v>192</v>
      </c>
    </row>
    <row r="26" spans="1:4" x14ac:dyDescent="0.25">
      <c r="A26">
        <v>811</v>
      </c>
      <c r="B26">
        <v>20</v>
      </c>
      <c r="C26">
        <v>267</v>
      </c>
      <c r="D26" t="s">
        <v>192</v>
      </c>
    </row>
    <row r="27" spans="1:4" x14ac:dyDescent="0.25">
      <c r="A27">
        <v>812</v>
      </c>
      <c r="B27">
        <v>20</v>
      </c>
      <c r="C27">
        <v>264</v>
      </c>
      <c r="D27" t="s">
        <v>192</v>
      </c>
    </row>
    <row r="28" spans="1:4" x14ac:dyDescent="0.25">
      <c r="A28">
        <v>813</v>
      </c>
      <c r="B28">
        <v>20</v>
      </c>
      <c r="C28">
        <v>260</v>
      </c>
      <c r="D28" t="s">
        <v>192</v>
      </c>
    </row>
    <row r="29" spans="1:4" x14ac:dyDescent="0.25">
      <c r="A29">
        <v>946</v>
      </c>
      <c r="B29">
        <v>20</v>
      </c>
      <c r="C29">
        <v>257</v>
      </c>
      <c r="D29" t="s">
        <v>192</v>
      </c>
    </row>
    <row r="30" spans="1:4" x14ac:dyDescent="0.25">
      <c r="A30">
        <v>947</v>
      </c>
      <c r="B30">
        <v>20</v>
      </c>
      <c r="C30">
        <v>254</v>
      </c>
      <c r="D30" t="s">
        <v>192</v>
      </c>
    </row>
    <row r="31" spans="1:4" x14ac:dyDescent="0.25">
      <c r="A31">
        <v>348</v>
      </c>
      <c r="B31">
        <v>50</v>
      </c>
      <c r="C31">
        <v>251</v>
      </c>
      <c r="D31" t="s">
        <v>192</v>
      </c>
    </row>
    <row r="32" spans="1:4" x14ac:dyDescent="0.25">
      <c r="A32">
        <v>524</v>
      </c>
      <c r="B32">
        <v>50</v>
      </c>
      <c r="C32">
        <v>228</v>
      </c>
      <c r="D32" t="s">
        <v>193</v>
      </c>
    </row>
    <row r="33" spans="1:4" x14ac:dyDescent="0.25">
      <c r="A33">
        <v>523</v>
      </c>
      <c r="B33">
        <v>50</v>
      </c>
      <c r="C33">
        <v>209</v>
      </c>
      <c r="D33" t="s">
        <v>193</v>
      </c>
    </row>
  </sheetData>
  <sheetProtection algorithmName="SHA-512" hashValue="zHtcfs5KcQMQ28gCulY4LdRWb4yMSE9OfzlakBL3OOVCLnfcU4VnUq/0oSMr1K5BR9BMAuYcsq1rl9baJoslzQ==" saltValue="yH42u7K66v09tzHJxDTppQ==" spinCount="100000" sheet="1" objects="1" scenarios="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7A9623-3574-4FC4-99F5-8977F1767E7D}">
  <sheetPr codeName="Sheet5"/>
  <dimension ref="A1:N91"/>
  <sheetViews>
    <sheetView workbookViewId="0">
      <selection activeCell="P14" sqref="P14"/>
    </sheetView>
  </sheetViews>
  <sheetFormatPr defaultRowHeight="15" x14ac:dyDescent="0.25"/>
  <cols>
    <col min="1" max="1" width="30.85546875" customWidth="1"/>
    <col min="2" max="2" width="15" customWidth="1"/>
    <col min="3" max="3" width="17" customWidth="1"/>
  </cols>
  <sheetData>
    <row r="1" spans="1:14" x14ac:dyDescent="0.25">
      <c r="A1" s="88" t="s">
        <v>165</v>
      </c>
      <c r="D1" t="s">
        <v>177</v>
      </c>
      <c r="H1" t="s">
        <v>296</v>
      </c>
    </row>
    <row r="2" spans="1:14" ht="30" customHeight="1" x14ac:dyDescent="0.25">
      <c r="A2" s="89" t="s">
        <v>535</v>
      </c>
    </row>
    <row r="3" spans="1:14" ht="28.9" customHeight="1" x14ac:dyDescent="0.25">
      <c r="A3" t="s">
        <v>168</v>
      </c>
      <c r="I3" t="s">
        <v>209</v>
      </c>
      <c r="N3" s="119" t="s">
        <v>560</v>
      </c>
    </row>
    <row r="4" spans="1:14" x14ac:dyDescent="0.25">
      <c r="N4" s="119" t="s">
        <v>561</v>
      </c>
    </row>
    <row r="5" spans="1:14" x14ac:dyDescent="0.25">
      <c r="A5" s="86" t="s">
        <v>183</v>
      </c>
      <c r="B5" s="86" t="s">
        <v>210</v>
      </c>
      <c r="C5" s="86" t="s">
        <v>211</v>
      </c>
      <c r="D5" t="s">
        <v>557</v>
      </c>
      <c r="E5" t="s">
        <v>213</v>
      </c>
      <c r="N5" s="119" t="s">
        <v>562</v>
      </c>
    </row>
    <row r="6" spans="1:14" x14ac:dyDescent="0.25">
      <c r="A6" s="86" t="s">
        <v>236</v>
      </c>
      <c r="B6" s="86" t="s">
        <v>237</v>
      </c>
      <c r="C6" s="86" t="s">
        <v>227</v>
      </c>
      <c r="D6" s="103" t="s">
        <v>558</v>
      </c>
      <c r="E6">
        <v>88</v>
      </c>
      <c r="N6" s="119" t="s">
        <v>563</v>
      </c>
    </row>
    <row r="7" spans="1:14" x14ac:dyDescent="0.25">
      <c r="A7" t="s">
        <v>323</v>
      </c>
      <c r="B7" t="s">
        <v>324</v>
      </c>
      <c r="C7" t="s">
        <v>224</v>
      </c>
      <c r="D7" s="103" t="s">
        <v>200</v>
      </c>
      <c r="E7">
        <v>2.68</v>
      </c>
      <c r="N7" s="119" t="s">
        <v>564</v>
      </c>
    </row>
    <row r="8" spans="1:14" x14ac:dyDescent="0.25">
      <c r="A8" t="s">
        <v>327</v>
      </c>
      <c r="B8" t="s">
        <v>328</v>
      </c>
      <c r="C8" t="s">
        <v>224</v>
      </c>
      <c r="D8" s="103" t="s">
        <v>200</v>
      </c>
      <c r="E8">
        <v>2.72</v>
      </c>
    </row>
    <row r="9" spans="1:14" x14ac:dyDescent="0.25">
      <c r="A9" t="s">
        <v>335</v>
      </c>
      <c r="B9" t="s">
        <v>336</v>
      </c>
      <c r="C9" t="s">
        <v>224</v>
      </c>
      <c r="D9" s="103" t="s">
        <v>200</v>
      </c>
      <c r="E9">
        <v>2.76</v>
      </c>
    </row>
    <row r="10" spans="1:14" x14ac:dyDescent="0.25">
      <c r="A10" t="s">
        <v>351</v>
      </c>
      <c r="B10" t="s">
        <v>352</v>
      </c>
      <c r="C10" t="s">
        <v>224</v>
      </c>
      <c r="D10" s="103" t="s">
        <v>200</v>
      </c>
      <c r="E10">
        <v>2.84</v>
      </c>
    </row>
    <row r="11" spans="1:14" x14ac:dyDescent="0.25">
      <c r="A11" t="s">
        <v>343</v>
      </c>
      <c r="B11" t="s">
        <v>344</v>
      </c>
      <c r="C11" t="s">
        <v>224</v>
      </c>
      <c r="D11" s="103" t="s">
        <v>200</v>
      </c>
      <c r="E11">
        <v>2.8</v>
      </c>
    </row>
    <row r="12" spans="1:14" x14ac:dyDescent="0.25">
      <c r="A12" t="s">
        <v>325</v>
      </c>
      <c r="B12" t="s">
        <v>326</v>
      </c>
      <c r="C12" t="s">
        <v>227</v>
      </c>
      <c r="D12" s="103" t="s">
        <v>200</v>
      </c>
      <c r="E12">
        <v>2.68</v>
      </c>
    </row>
    <row r="13" spans="1:14" x14ac:dyDescent="0.25">
      <c r="A13" t="s">
        <v>329</v>
      </c>
      <c r="B13" t="s">
        <v>330</v>
      </c>
      <c r="C13" t="s">
        <v>227</v>
      </c>
      <c r="D13" s="103" t="s">
        <v>200</v>
      </c>
      <c r="E13">
        <v>2.72</v>
      </c>
    </row>
    <row r="14" spans="1:14" x14ac:dyDescent="0.25">
      <c r="A14" t="s">
        <v>337</v>
      </c>
      <c r="B14" t="s">
        <v>338</v>
      </c>
      <c r="C14" t="s">
        <v>227</v>
      </c>
      <c r="D14" s="103" t="s">
        <v>200</v>
      </c>
      <c r="E14">
        <v>2.76</v>
      </c>
    </row>
    <row r="15" spans="1:14" x14ac:dyDescent="0.25">
      <c r="A15" t="s">
        <v>353</v>
      </c>
      <c r="B15" t="s">
        <v>354</v>
      </c>
      <c r="C15" t="s">
        <v>227</v>
      </c>
      <c r="D15" s="103" t="s">
        <v>200</v>
      </c>
      <c r="E15">
        <v>2.84</v>
      </c>
    </row>
    <row r="16" spans="1:14" x14ac:dyDescent="0.25">
      <c r="A16" t="s">
        <v>345</v>
      </c>
      <c r="B16" t="s">
        <v>346</v>
      </c>
      <c r="C16" t="s">
        <v>227</v>
      </c>
      <c r="D16" s="103" t="s">
        <v>200</v>
      </c>
      <c r="E16">
        <v>2.8</v>
      </c>
    </row>
    <row r="17" spans="1:5" x14ac:dyDescent="0.25">
      <c r="A17" t="s">
        <v>301</v>
      </c>
      <c r="B17" t="s">
        <v>302</v>
      </c>
      <c r="C17" t="s">
        <v>224</v>
      </c>
      <c r="D17" s="103" t="s">
        <v>200</v>
      </c>
      <c r="E17">
        <v>2.12</v>
      </c>
    </row>
    <row r="18" spans="1:5" x14ac:dyDescent="0.25">
      <c r="A18" t="s">
        <v>303</v>
      </c>
      <c r="B18" t="s">
        <v>304</v>
      </c>
      <c r="C18" t="s">
        <v>224</v>
      </c>
      <c r="D18" s="103" t="s">
        <v>200</v>
      </c>
      <c r="E18">
        <v>2.16</v>
      </c>
    </row>
    <row r="19" spans="1:5" x14ac:dyDescent="0.25">
      <c r="A19" t="s">
        <v>305</v>
      </c>
      <c r="B19" t="s">
        <v>306</v>
      </c>
      <c r="C19" t="s">
        <v>224</v>
      </c>
      <c r="D19" s="103" t="s">
        <v>200</v>
      </c>
      <c r="E19">
        <v>2.2000000000000002</v>
      </c>
    </row>
    <row r="20" spans="1:5" x14ac:dyDescent="0.25">
      <c r="A20" t="s">
        <v>307</v>
      </c>
      <c r="B20" t="s">
        <v>308</v>
      </c>
      <c r="C20" t="s">
        <v>224</v>
      </c>
      <c r="D20" s="103" t="s">
        <v>200</v>
      </c>
      <c r="E20">
        <v>2.2400000000000002</v>
      </c>
    </row>
    <row r="21" spans="1:5" x14ac:dyDescent="0.25">
      <c r="A21" t="s">
        <v>309</v>
      </c>
      <c r="B21" t="s">
        <v>310</v>
      </c>
      <c r="C21" t="s">
        <v>224</v>
      </c>
      <c r="D21" s="103" t="s">
        <v>200</v>
      </c>
      <c r="E21">
        <v>2.2999999999999998</v>
      </c>
    </row>
    <row r="22" spans="1:5" x14ac:dyDescent="0.25">
      <c r="A22" t="s">
        <v>359</v>
      </c>
      <c r="B22" t="s">
        <v>360</v>
      </c>
      <c r="C22" t="s">
        <v>224</v>
      </c>
      <c r="D22" t="s">
        <v>208</v>
      </c>
      <c r="E22">
        <v>2.88</v>
      </c>
    </row>
    <row r="23" spans="1:5" x14ac:dyDescent="0.25">
      <c r="A23" t="s">
        <v>363</v>
      </c>
      <c r="B23" t="s">
        <v>364</v>
      </c>
      <c r="C23" t="s">
        <v>224</v>
      </c>
      <c r="D23" t="s">
        <v>208</v>
      </c>
      <c r="E23">
        <v>2.92</v>
      </c>
    </row>
    <row r="24" spans="1:5" x14ac:dyDescent="0.25">
      <c r="A24" t="s">
        <v>367</v>
      </c>
      <c r="B24" t="s">
        <v>368</v>
      </c>
      <c r="C24" t="s">
        <v>224</v>
      </c>
      <c r="D24" t="s">
        <v>208</v>
      </c>
      <c r="E24">
        <v>2.96</v>
      </c>
    </row>
    <row r="25" spans="1:5" x14ac:dyDescent="0.25">
      <c r="A25" t="s">
        <v>371</v>
      </c>
      <c r="B25" t="s">
        <v>372</v>
      </c>
      <c r="C25" t="s">
        <v>224</v>
      </c>
      <c r="D25" t="s">
        <v>208</v>
      </c>
      <c r="E25">
        <v>3</v>
      </c>
    </row>
    <row r="26" spans="1:5" x14ac:dyDescent="0.25">
      <c r="A26" t="s">
        <v>375</v>
      </c>
      <c r="B26" t="s">
        <v>376</v>
      </c>
      <c r="C26" t="s">
        <v>224</v>
      </c>
      <c r="D26" t="s">
        <v>208</v>
      </c>
      <c r="E26">
        <v>3.04</v>
      </c>
    </row>
    <row r="27" spans="1:5" x14ac:dyDescent="0.25">
      <c r="A27" t="s">
        <v>361</v>
      </c>
      <c r="B27" t="s">
        <v>362</v>
      </c>
      <c r="C27" t="s">
        <v>227</v>
      </c>
      <c r="D27" t="s">
        <v>208</v>
      </c>
      <c r="E27">
        <v>2.88</v>
      </c>
    </row>
    <row r="28" spans="1:5" x14ac:dyDescent="0.25">
      <c r="A28" t="s">
        <v>365</v>
      </c>
      <c r="B28" t="s">
        <v>366</v>
      </c>
      <c r="C28" t="s">
        <v>227</v>
      </c>
      <c r="D28" t="s">
        <v>208</v>
      </c>
      <c r="E28">
        <v>2.92</v>
      </c>
    </row>
    <row r="29" spans="1:5" x14ac:dyDescent="0.25">
      <c r="A29" t="s">
        <v>369</v>
      </c>
      <c r="B29" t="s">
        <v>370</v>
      </c>
      <c r="C29" t="s">
        <v>227</v>
      </c>
      <c r="D29" t="s">
        <v>208</v>
      </c>
      <c r="E29">
        <v>2.96</v>
      </c>
    </row>
    <row r="30" spans="1:5" x14ac:dyDescent="0.25">
      <c r="A30" t="s">
        <v>373</v>
      </c>
      <c r="B30" t="s">
        <v>374</v>
      </c>
      <c r="C30" t="s">
        <v>227</v>
      </c>
      <c r="D30" t="s">
        <v>208</v>
      </c>
      <c r="E30">
        <v>3</v>
      </c>
    </row>
    <row r="31" spans="1:5" x14ac:dyDescent="0.25">
      <c r="A31" t="s">
        <v>377</v>
      </c>
      <c r="B31" t="s">
        <v>378</v>
      </c>
      <c r="C31" t="s">
        <v>227</v>
      </c>
      <c r="D31" t="s">
        <v>208</v>
      </c>
      <c r="E31">
        <v>3.04</v>
      </c>
    </row>
    <row r="32" spans="1:5" x14ac:dyDescent="0.25">
      <c r="A32" t="s">
        <v>311</v>
      </c>
      <c r="B32" t="s">
        <v>312</v>
      </c>
      <c r="C32" t="s">
        <v>224</v>
      </c>
      <c r="D32" t="s">
        <v>208</v>
      </c>
      <c r="E32">
        <v>2.3199999999999998</v>
      </c>
    </row>
    <row r="33" spans="1:5" x14ac:dyDescent="0.25">
      <c r="A33" t="s">
        <v>313</v>
      </c>
      <c r="B33" t="s">
        <v>314</v>
      </c>
      <c r="C33" t="s">
        <v>224</v>
      </c>
      <c r="D33" t="s">
        <v>208</v>
      </c>
      <c r="E33">
        <v>2.36</v>
      </c>
    </row>
    <row r="34" spans="1:5" x14ac:dyDescent="0.25">
      <c r="A34" t="s">
        <v>315</v>
      </c>
      <c r="B34" t="s">
        <v>316</v>
      </c>
      <c r="C34" t="s">
        <v>224</v>
      </c>
      <c r="D34" t="s">
        <v>208</v>
      </c>
      <c r="E34">
        <v>2.4</v>
      </c>
    </row>
    <row r="35" spans="1:5" x14ac:dyDescent="0.25">
      <c r="A35" t="s">
        <v>317</v>
      </c>
      <c r="B35" t="s">
        <v>318</v>
      </c>
      <c r="C35" t="s">
        <v>224</v>
      </c>
      <c r="D35" t="s">
        <v>208</v>
      </c>
      <c r="E35">
        <v>2.46</v>
      </c>
    </row>
    <row r="36" spans="1:5" x14ac:dyDescent="0.25">
      <c r="A36" t="s">
        <v>319</v>
      </c>
      <c r="B36" t="s">
        <v>320</v>
      </c>
      <c r="C36" t="s">
        <v>224</v>
      </c>
      <c r="D36" t="s">
        <v>208</v>
      </c>
      <c r="E36">
        <v>2.48</v>
      </c>
    </row>
    <row r="37" spans="1:5" x14ac:dyDescent="0.25">
      <c r="A37" t="s">
        <v>321</v>
      </c>
      <c r="B37" t="s">
        <v>322</v>
      </c>
      <c r="C37" t="s">
        <v>224</v>
      </c>
      <c r="D37" t="s">
        <v>208</v>
      </c>
      <c r="E37">
        <v>2.5</v>
      </c>
    </row>
    <row r="38" spans="1:5" x14ac:dyDescent="0.25">
      <c r="A38" t="s">
        <v>331</v>
      </c>
      <c r="B38" t="s">
        <v>332</v>
      </c>
      <c r="C38" t="s">
        <v>224</v>
      </c>
      <c r="D38" t="s">
        <v>203</v>
      </c>
      <c r="E38">
        <v>2.73</v>
      </c>
    </row>
    <row r="39" spans="1:5" x14ac:dyDescent="0.25">
      <c r="A39" t="s">
        <v>339</v>
      </c>
      <c r="B39" t="s">
        <v>340</v>
      </c>
      <c r="C39" t="s">
        <v>224</v>
      </c>
      <c r="D39" t="s">
        <v>203</v>
      </c>
      <c r="E39">
        <v>2.77</v>
      </c>
    </row>
    <row r="40" spans="1:5" x14ac:dyDescent="0.25">
      <c r="A40" t="s">
        <v>347</v>
      </c>
      <c r="B40" t="s">
        <v>348</v>
      </c>
      <c r="C40" t="s">
        <v>224</v>
      </c>
      <c r="D40" t="s">
        <v>203</v>
      </c>
      <c r="E40">
        <v>2.81</v>
      </c>
    </row>
    <row r="41" spans="1:5" x14ac:dyDescent="0.25">
      <c r="A41" t="s">
        <v>355</v>
      </c>
      <c r="B41" t="s">
        <v>356</v>
      </c>
      <c r="C41" t="s">
        <v>224</v>
      </c>
      <c r="D41" t="s">
        <v>203</v>
      </c>
      <c r="E41">
        <v>2.85</v>
      </c>
    </row>
    <row r="42" spans="1:5" x14ac:dyDescent="0.25">
      <c r="A42" t="s">
        <v>333</v>
      </c>
      <c r="B42" t="s">
        <v>334</v>
      </c>
      <c r="C42" t="s">
        <v>227</v>
      </c>
      <c r="D42" t="s">
        <v>203</v>
      </c>
      <c r="E42">
        <v>2.73</v>
      </c>
    </row>
    <row r="43" spans="1:5" x14ac:dyDescent="0.25">
      <c r="A43" t="s">
        <v>341</v>
      </c>
      <c r="B43" t="s">
        <v>342</v>
      </c>
      <c r="C43" t="s">
        <v>227</v>
      </c>
      <c r="D43" t="s">
        <v>203</v>
      </c>
      <c r="E43">
        <v>2.77</v>
      </c>
    </row>
    <row r="44" spans="1:5" x14ac:dyDescent="0.25">
      <c r="A44" t="s">
        <v>349</v>
      </c>
      <c r="B44" t="s">
        <v>350</v>
      </c>
      <c r="C44" t="s">
        <v>227</v>
      </c>
      <c r="D44" t="s">
        <v>203</v>
      </c>
      <c r="E44">
        <v>2.81</v>
      </c>
    </row>
    <row r="45" spans="1:5" x14ac:dyDescent="0.25">
      <c r="A45" t="s">
        <v>357</v>
      </c>
      <c r="B45" t="s">
        <v>358</v>
      </c>
      <c r="C45" t="s">
        <v>227</v>
      </c>
      <c r="D45" t="s">
        <v>203</v>
      </c>
      <c r="E45">
        <v>2.85</v>
      </c>
    </row>
    <row r="46" spans="1:5" x14ac:dyDescent="0.25">
      <c r="A46" t="s">
        <v>403</v>
      </c>
      <c r="B46" t="s">
        <v>404</v>
      </c>
      <c r="C46" t="s">
        <v>224</v>
      </c>
      <c r="D46" t="s">
        <v>200</v>
      </c>
      <c r="E46">
        <v>20.350000000000001</v>
      </c>
    </row>
    <row r="47" spans="1:5" x14ac:dyDescent="0.25">
      <c r="A47" t="s">
        <v>409</v>
      </c>
      <c r="B47" t="s">
        <v>410</v>
      </c>
      <c r="C47" t="s">
        <v>224</v>
      </c>
      <c r="D47" t="s">
        <v>200</v>
      </c>
      <c r="E47">
        <v>20.77</v>
      </c>
    </row>
    <row r="48" spans="1:5" x14ac:dyDescent="0.25">
      <c r="A48" t="s">
        <v>415</v>
      </c>
      <c r="B48" t="s">
        <v>416</v>
      </c>
      <c r="C48" t="s">
        <v>224</v>
      </c>
      <c r="D48" t="s">
        <v>200</v>
      </c>
      <c r="E48">
        <v>21.13</v>
      </c>
    </row>
    <row r="49" spans="1:5" x14ac:dyDescent="0.25">
      <c r="A49" t="s">
        <v>419</v>
      </c>
      <c r="B49" t="s">
        <v>420</v>
      </c>
      <c r="C49" t="s">
        <v>224</v>
      </c>
      <c r="D49" t="s">
        <v>200</v>
      </c>
      <c r="E49">
        <v>21.42</v>
      </c>
    </row>
    <row r="50" spans="1:5" x14ac:dyDescent="0.25">
      <c r="A50" t="s">
        <v>405</v>
      </c>
      <c r="B50" t="s">
        <v>406</v>
      </c>
      <c r="C50" t="s">
        <v>227</v>
      </c>
      <c r="D50" t="s">
        <v>200</v>
      </c>
      <c r="E50">
        <v>20.350000000000001</v>
      </c>
    </row>
    <row r="51" spans="1:5" x14ac:dyDescent="0.25">
      <c r="A51" t="s">
        <v>411</v>
      </c>
      <c r="B51" t="s">
        <v>412</v>
      </c>
      <c r="C51" t="s">
        <v>227</v>
      </c>
      <c r="D51" t="s">
        <v>200</v>
      </c>
      <c r="E51">
        <v>20.77</v>
      </c>
    </row>
    <row r="52" spans="1:5" x14ac:dyDescent="0.25">
      <c r="A52" t="s">
        <v>417</v>
      </c>
      <c r="B52" t="s">
        <v>418</v>
      </c>
      <c r="C52" t="s">
        <v>227</v>
      </c>
      <c r="D52" t="s">
        <v>200</v>
      </c>
      <c r="E52">
        <v>21.13</v>
      </c>
    </row>
    <row r="53" spans="1:5" x14ac:dyDescent="0.25">
      <c r="A53" t="s">
        <v>421</v>
      </c>
      <c r="B53" t="s">
        <v>422</v>
      </c>
      <c r="C53" t="s">
        <v>227</v>
      </c>
      <c r="D53" t="s">
        <v>200</v>
      </c>
      <c r="E53">
        <v>21.42</v>
      </c>
    </row>
    <row r="54" spans="1:5" x14ac:dyDescent="0.25">
      <c r="A54" t="s">
        <v>423</v>
      </c>
      <c r="B54" t="s">
        <v>424</v>
      </c>
      <c r="C54" t="s">
        <v>224</v>
      </c>
      <c r="D54" t="s">
        <v>200</v>
      </c>
      <c r="E54">
        <v>23.35</v>
      </c>
    </row>
    <row r="55" spans="1:5" x14ac:dyDescent="0.25">
      <c r="A55" t="s">
        <v>427</v>
      </c>
      <c r="B55" t="s">
        <v>428</v>
      </c>
      <c r="C55" t="s">
        <v>224</v>
      </c>
      <c r="D55" t="s">
        <v>200</v>
      </c>
      <c r="E55">
        <v>23.77</v>
      </c>
    </row>
    <row r="56" spans="1:5" x14ac:dyDescent="0.25">
      <c r="A56" t="s">
        <v>431</v>
      </c>
      <c r="B56" t="s">
        <v>432</v>
      </c>
      <c r="C56" t="s">
        <v>224</v>
      </c>
      <c r="D56" t="s">
        <v>200</v>
      </c>
      <c r="E56">
        <v>24.13</v>
      </c>
    </row>
    <row r="57" spans="1:5" x14ac:dyDescent="0.25">
      <c r="A57" t="s">
        <v>425</v>
      </c>
      <c r="B57" t="s">
        <v>426</v>
      </c>
      <c r="C57" t="s">
        <v>227</v>
      </c>
      <c r="D57" t="s">
        <v>200</v>
      </c>
      <c r="E57">
        <v>23.35</v>
      </c>
    </row>
    <row r="58" spans="1:5" x14ac:dyDescent="0.25">
      <c r="A58" t="s">
        <v>429</v>
      </c>
      <c r="B58" t="s">
        <v>430</v>
      </c>
      <c r="C58" t="s">
        <v>227</v>
      </c>
      <c r="D58" t="s">
        <v>200</v>
      </c>
      <c r="E58">
        <v>23.77</v>
      </c>
    </row>
    <row r="59" spans="1:5" x14ac:dyDescent="0.25">
      <c r="A59" t="s">
        <v>433</v>
      </c>
      <c r="B59" t="s">
        <v>434</v>
      </c>
      <c r="C59" t="s">
        <v>227</v>
      </c>
      <c r="D59" t="s">
        <v>200</v>
      </c>
      <c r="E59">
        <v>24.13</v>
      </c>
    </row>
    <row r="60" spans="1:5" x14ac:dyDescent="0.25">
      <c r="A60" t="s">
        <v>435</v>
      </c>
      <c r="B60" t="s">
        <v>436</v>
      </c>
      <c r="C60" t="s">
        <v>224</v>
      </c>
      <c r="D60" t="s">
        <v>203</v>
      </c>
      <c r="E60">
        <v>25.35</v>
      </c>
    </row>
    <row r="61" spans="1:5" x14ac:dyDescent="0.25">
      <c r="A61" t="s">
        <v>437</v>
      </c>
      <c r="B61" t="s">
        <v>438</v>
      </c>
      <c r="C61" t="s">
        <v>224</v>
      </c>
      <c r="D61" t="s">
        <v>203</v>
      </c>
      <c r="E61">
        <v>25.77</v>
      </c>
    </row>
    <row r="62" spans="1:5" x14ac:dyDescent="0.25">
      <c r="A62" t="s">
        <v>439</v>
      </c>
      <c r="B62" t="s">
        <v>440</v>
      </c>
      <c r="C62" t="s">
        <v>224</v>
      </c>
      <c r="D62" t="s">
        <v>203</v>
      </c>
      <c r="E62">
        <v>26.13</v>
      </c>
    </row>
    <row r="63" spans="1:5" x14ac:dyDescent="0.25">
      <c r="A63" t="s">
        <v>443</v>
      </c>
      <c r="B63" t="s">
        <v>444</v>
      </c>
      <c r="C63" t="s">
        <v>224</v>
      </c>
      <c r="D63" t="s">
        <v>203</v>
      </c>
      <c r="E63">
        <v>26.42</v>
      </c>
    </row>
    <row r="64" spans="1:5" x14ac:dyDescent="0.25">
      <c r="A64" t="s">
        <v>441</v>
      </c>
      <c r="B64" t="s">
        <v>442</v>
      </c>
      <c r="C64" t="s">
        <v>227</v>
      </c>
      <c r="D64" t="s">
        <v>203</v>
      </c>
      <c r="E64">
        <v>26.35</v>
      </c>
    </row>
    <row r="65" spans="1:5" x14ac:dyDescent="0.25">
      <c r="A65" t="s">
        <v>445</v>
      </c>
      <c r="B65" t="s">
        <v>446</v>
      </c>
      <c r="C65" t="s">
        <v>227</v>
      </c>
      <c r="D65" t="s">
        <v>203</v>
      </c>
      <c r="E65">
        <v>26.77</v>
      </c>
    </row>
    <row r="66" spans="1:5" x14ac:dyDescent="0.25">
      <c r="A66" t="s">
        <v>447</v>
      </c>
      <c r="B66" t="s">
        <v>448</v>
      </c>
      <c r="C66" t="s">
        <v>227</v>
      </c>
      <c r="D66" t="s">
        <v>203</v>
      </c>
      <c r="E66">
        <v>27.13</v>
      </c>
    </row>
    <row r="67" spans="1:5" x14ac:dyDescent="0.25">
      <c r="A67" t="s">
        <v>453</v>
      </c>
      <c r="B67" t="s">
        <v>454</v>
      </c>
      <c r="C67" t="s">
        <v>227</v>
      </c>
      <c r="D67" t="s">
        <v>203</v>
      </c>
      <c r="E67">
        <v>27.42</v>
      </c>
    </row>
    <row r="68" spans="1:5" x14ac:dyDescent="0.25">
      <c r="A68" t="s">
        <v>449</v>
      </c>
      <c r="B68" t="s">
        <v>450</v>
      </c>
      <c r="C68" t="s">
        <v>224</v>
      </c>
      <c r="D68" t="s">
        <v>208</v>
      </c>
      <c r="E68">
        <v>27.35</v>
      </c>
    </row>
    <row r="69" spans="1:5" x14ac:dyDescent="0.25">
      <c r="A69" t="s">
        <v>455</v>
      </c>
      <c r="B69" t="s">
        <v>456</v>
      </c>
      <c r="C69" t="s">
        <v>224</v>
      </c>
      <c r="D69" t="s">
        <v>208</v>
      </c>
      <c r="E69">
        <v>27.77</v>
      </c>
    </row>
    <row r="70" spans="1:5" x14ac:dyDescent="0.25">
      <c r="A70" t="s">
        <v>459</v>
      </c>
      <c r="B70" t="s">
        <v>460</v>
      </c>
      <c r="C70" t="s">
        <v>224</v>
      </c>
      <c r="D70" t="s">
        <v>208</v>
      </c>
      <c r="E70">
        <v>28.13</v>
      </c>
    </row>
    <row r="71" spans="1:5" x14ac:dyDescent="0.25">
      <c r="A71" t="s">
        <v>463</v>
      </c>
      <c r="B71" t="s">
        <v>464</v>
      </c>
      <c r="C71" t="s">
        <v>224</v>
      </c>
      <c r="D71" t="s">
        <v>208</v>
      </c>
      <c r="E71">
        <v>28.42</v>
      </c>
    </row>
    <row r="72" spans="1:5" x14ac:dyDescent="0.25">
      <c r="A72" t="s">
        <v>467</v>
      </c>
      <c r="B72" t="s">
        <v>468</v>
      </c>
      <c r="C72" t="s">
        <v>224</v>
      </c>
      <c r="D72" t="s">
        <v>208</v>
      </c>
      <c r="E72">
        <v>28.68</v>
      </c>
    </row>
    <row r="73" spans="1:5" x14ac:dyDescent="0.25">
      <c r="A73" t="s">
        <v>451</v>
      </c>
      <c r="B73" t="s">
        <v>452</v>
      </c>
      <c r="C73" t="s">
        <v>227</v>
      </c>
      <c r="D73" t="s">
        <v>208</v>
      </c>
      <c r="E73">
        <v>27.35</v>
      </c>
    </row>
    <row r="74" spans="1:5" x14ac:dyDescent="0.25">
      <c r="A74" t="s">
        <v>457</v>
      </c>
      <c r="B74" t="s">
        <v>458</v>
      </c>
      <c r="C74" t="s">
        <v>227</v>
      </c>
      <c r="D74" t="s">
        <v>208</v>
      </c>
      <c r="E74">
        <v>27.77</v>
      </c>
    </row>
    <row r="75" spans="1:5" x14ac:dyDescent="0.25">
      <c r="A75" t="s">
        <v>461</v>
      </c>
      <c r="B75" t="s">
        <v>462</v>
      </c>
      <c r="C75" t="s">
        <v>227</v>
      </c>
      <c r="D75" t="s">
        <v>208</v>
      </c>
      <c r="E75">
        <v>28.13</v>
      </c>
    </row>
    <row r="76" spans="1:5" x14ac:dyDescent="0.25">
      <c r="A76" t="s">
        <v>465</v>
      </c>
      <c r="B76" t="s">
        <v>466</v>
      </c>
      <c r="C76" t="s">
        <v>227</v>
      </c>
      <c r="D76" t="s">
        <v>208</v>
      </c>
      <c r="E76">
        <v>28.42</v>
      </c>
    </row>
    <row r="77" spans="1:5" x14ac:dyDescent="0.25">
      <c r="A77" t="s">
        <v>469</v>
      </c>
      <c r="B77" t="s">
        <v>470</v>
      </c>
      <c r="C77" t="s">
        <v>227</v>
      </c>
      <c r="D77" t="s">
        <v>208</v>
      </c>
      <c r="E77">
        <v>28.68</v>
      </c>
    </row>
    <row r="78" spans="1:5" x14ac:dyDescent="0.25">
      <c r="A78" t="s">
        <v>379</v>
      </c>
      <c r="B78" t="s">
        <v>380</v>
      </c>
      <c r="C78" t="s">
        <v>224</v>
      </c>
      <c r="D78" t="s">
        <v>200</v>
      </c>
      <c r="E78">
        <v>14.77</v>
      </c>
    </row>
    <row r="79" spans="1:5" x14ac:dyDescent="0.25">
      <c r="A79" t="s">
        <v>381</v>
      </c>
      <c r="B79" t="s">
        <v>382</v>
      </c>
      <c r="C79" t="s">
        <v>224</v>
      </c>
      <c r="D79" t="s">
        <v>200</v>
      </c>
      <c r="E79">
        <v>15.13</v>
      </c>
    </row>
    <row r="80" spans="1:5" x14ac:dyDescent="0.25">
      <c r="A80" t="s">
        <v>383</v>
      </c>
      <c r="B80" t="s">
        <v>384</v>
      </c>
      <c r="C80" t="s">
        <v>224</v>
      </c>
      <c r="D80" t="s">
        <v>200</v>
      </c>
      <c r="E80">
        <v>15.42</v>
      </c>
    </row>
    <row r="81" spans="1:5" x14ac:dyDescent="0.25">
      <c r="A81" t="s">
        <v>385</v>
      </c>
      <c r="B81" t="s">
        <v>386</v>
      </c>
      <c r="C81" t="s">
        <v>224</v>
      </c>
      <c r="D81" t="s">
        <v>200</v>
      </c>
      <c r="E81">
        <v>15.68</v>
      </c>
    </row>
    <row r="82" spans="1:5" x14ac:dyDescent="0.25">
      <c r="A82" t="s">
        <v>387</v>
      </c>
      <c r="B82" t="s">
        <v>388</v>
      </c>
      <c r="C82" t="s">
        <v>224</v>
      </c>
      <c r="D82" t="s">
        <v>208</v>
      </c>
      <c r="E82">
        <v>18.77</v>
      </c>
    </row>
    <row r="83" spans="1:5" x14ac:dyDescent="0.25">
      <c r="A83" t="s">
        <v>389</v>
      </c>
      <c r="B83" t="s">
        <v>390</v>
      </c>
      <c r="C83" t="s">
        <v>224</v>
      </c>
      <c r="D83" t="s">
        <v>208</v>
      </c>
      <c r="E83">
        <v>19.13</v>
      </c>
    </row>
    <row r="84" spans="1:5" x14ac:dyDescent="0.25">
      <c r="A84" t="s">
        <v>391</v>
      </c>
      <c r="B84" t="s">
        <v>392</v>
      </c>
      <c r="C84" t="s">
        <v>224</v>
      </c>
      <c r="D84" t="s">
        <v>208</v>
      </c>
      <c r="E84">
        <v>19.420000000000002</v>
      </c>
    </row>
    <row r="85" spans="1:5" x14ac:dyDescent="0.25">
      <c r="A85" t="s">
        <v>395</v>
      </c>
      <c r="B85" t="s">
        <v>396</v>
      </c>
      <c r="C85" t="s">
        <v>224</v>
      </c>
      <c r="D85" t="s">
        <v>208</v>
      </c>
      <c r="E85">
        <v>19.79</v>
      </c>
    </row>
    <row r="86" spans="1:5" x14ac:dyDescent="0.25">
      <c r="A86" t="s">
        <v>397</v>
      </c>
      <c r="B86" t="s">
        <v>398</v>
      </c>
      <c r="C86" t="s">
        <v>224</v>
      </c>
      <c r="D86" t="s">
        <v>208</v>
      </c>
      <c r="E86">
        <v>19.899999999999999</v>
      </c>
    </row>
    <row r="87" spans="1:5" x14ac:dyDescent="0.25">
      <c r="A87" t="s">
        <v>399</v>
      </c>
      <c r="B87" t="s">
        <v>400</v>
      </c>
      <c r="C87" t="s">
        <v>224</v>
      </c>
      <c r="D87" t="s">
        <v>208</v>
      </c>
      <c r="E87">
        <v>20</v>
      </c>
    </row>
    <row r="88" spans="1:5" x14ac:dyDescent="0.25">
      <c r="A88" t="s">
        <v>393</v>
      </c>
      <c r="B88" t="s">
        <v>394</v>
      </c>
      <c r="C88" t="s">
        <v>224</v>
      </c>
      <c r="D88" t="s">
        <v>208</v>
      </c>
      <c r="E88">
        <v>19.77</v>
      </c>
    </row>
    <row r="89" spans="1:5" x14ac:dyDescent="0.25">
      <c r="A89" t="s">
        <v>401</v>
      </c>
      <c r="B89" t="s">
        <v>402</v>
      </c>
      <c r="C89" t="s">
        <v>224</v>
      </c>
      <c r="D89" t="s">
        <v>208</v>
      </c>
      <c r="E89">
        <v>20.13</v>
      </c>
    </row>
    <row r="90" spans="1:5" x14ac:dyDescent="0.25">
      <c r="A90" t="s">
        <v>407</v>
      </c>
      <c r="B90" t="s">
        <v>408</v>
      </c>
      <c r="C90" t="s">
        <v>224</v>
      </c>
      <c r="D90" t="s">
        <v>208</v>
      </c>
      <c r="E90">
        <v>20.420000000000002</v>
      </c>
    </row>
    <row r="91" spans="1:5" x14ac:dyDescent="0.25">
      <c r="A91" t="s">
        <v>413</v>
      </c>
      <c r="B91" t="s">
        <v>414</v>
      </c>
      <c r="C91" t="s">
        <v>224</v>
      </c>
      <c r="D91" t="s">
        <v>208</v>
      </c>
      <c r="E91">
        <v>20.79</v>
      </c>
    </row>
  </sheetData>
  <sheetProtection algorithmName="SHA-512" hashValue="4K63LtGXncZ3kf0dFyII3Tx3SWwPLuUtlM0CIvTRFeXHOVSH+CkYTZHG7+62hpxnUVfDZxRhdU2HwDe7Z1ruwg==" saltValue="rUve3jrRIh5/gr16GDw9jA==" spinCount="100000"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96DB5-984A-4528-96AA-9845DC576509}">
  <sheetPr codeName="Sheet6"/>
  <dimension ref="A1:O88"/>
  <sheetViews>
    <sheetView workbookViewId="0"/>
  </sheetViews>
  <sheetFormatPr defaultRowHeight="15" x14ac:dyDescent="0.25"/>
  <cols>
    <col min="1" max="1" width="42.28515625" customWidth="1"/>
  </cols>
  <sheetData>
    <row r="1" spans="1:9" x14ac:dyDescent="0.25">
      <c r="A1" s="91" cm="1">
        <f t="array" ref="A1">gradeGenericQuestionRange("Text",A3:E88,10,Question2!A5:E90)</f>
        <v>1.6046516895294189</v>
      </c>
    </row>
    <row r="2" spans="1:9" x14ac:dyDescent="0.25">
      <c r="C2" s="90"/>
      <c r="I2" s="90" t="s">
        <v>214</v>
      </c>
    </row>
    <row r="3" spans="1:9" x14ac:dyDescent="0.25">
      <c r="A3" s="90" t="s">
        <v>183</v>
      </c>
      <c r="B3" t="s">
        <v>210</v>
      </c>
      <c r="C3" s="90" t="s">
        <v>211</v>
      </c>
      <c r="D3" t="s">
        <v>212</v>
      </c>
      <c r="E3" t="s">
        <v>213</v>
      </c>
      <c r="I3" s="90" t="s">
        <v>215</v>
      </c>
    </row>
    <row r="4" spans="1:9" x14ac:dyDescent="0.25">
      <c r="A4" s="90" t="s">
        <v>301</v>
      </c>
      <c r="B4" t="s">
        <v>302</v>
      </c>
      <c r="C4" s="90" t="s">
        <v>224</v>
      </c>
      <c r="D4" t="s">
        <v>200</v>
      </c>
      <c r="E4">
        <v>2.12</v>
      </c>
      <c r="I4" s="90" t="s">
        <v>216</v>
      </c>
    </row>
    <row r="5" spans="1:9" x14ac:dyDescent="0.25">
      <c r="A5" s="90" t="s">
        <v>303</v>
      </c>
      <c r="B5" t="s">
        <v>304</v>
      </c>
      <c r="C5" t="s">
        <v>224</v>
      </c>
      <c r="D5" t="s">
        <v>200</v>
      </c>
      <c r="E5">
        <v>2.16</v>
      </c>
      <c r="I5" s="90" t="s">
        <v>300</v>
      </c>
    </row>
    <row r="6" spans="1:9" x14ac:dyDescent="0.25">
      <c r="A6" s="90" t="s">
        <v>305</v>
      </c>
      <c r="B6" t="s">
        <v>306</v>
      </c>
      <c r="C6" t="s">
        <v>224</v>
      </c>
      <c r="D6" t="s">
        <v>200</v>
      </c>
      <c r="E6">
        <v>2.2000000000000002</v>
      </c>
      <c r="I6" s="90" t="s">
        <v>218</v>
      </c>
    </row>
    <row r="7" spans="1:9" x14ac:dyDescent="0.25">
      <c r="A7" s="90" t="s">
        <v>307</v>
      </c>
      <c r="B7" t="s">
        <v>308</v>
      </c>
      <c r="C7" t="s">
        <v>224</v>
      </c>
      <c r="D7" t="s">
        <v>200</v>
      </c>
      <c r="E7">
        <v>2.2400000000000002</v>
      </c>
      <c r="I7" s="90" t="s">
        <v>219</v>
      </c>
    </row>
    <row r="8" spans="1:9" x14ac:dyDescent="0.25">
      <c r="A8" s="90" t="s">
        <v>309</v>
      </c>
      <c r="B8" t="s">
        <v>310</v>
      </c>
      <c r="C8" t="s">
        <v>224</v>
      </c>
      <c r="D8" t="s">
        <v>200</v>
      </c>
      <c r="E8">
        <v>2.2999999999999998</v>
      </c>
    </row>
    <row r="9" spans="1:9" x14ac:dyDescent="0.25">
      <c r="A9" t="s">
        <v>311</v>
      </c>
      <c r="B9" t="s">
        <v>312</v>
      </c>
      <c r="C9" t="s">
        <v>224</v>
      </c>
      <c r="D9" t="s">
        <v>208</v>
      </c>
      <c r="E9">
        <v>2.3199999999999998</v>
      </c>
    </row>
    <row r="10" spans="1:9" x14ac:dyDescent="0.25">
      <c r="A10" t="s">
        <v>313</v>
      </c>
      <c r="B10" t="s">
        <v>314</v>
      </c>
      <c r="C10" t="s">
        <v>224</v>
      </c>
      <c r="D10" t="s">
        <v>208</v>
      </c>
      <c r="E10">
        <v>2.36</v>
      </c>
    </row>
    <row r="11" spans="1:9" x14ac:dyDescent="0.25">
      <c r="A11" t="s">
        <v>315</v>
      </c>
      <c r="B11" t="s">
        <v>316</v>
      </c>
      <c r="C11" t="s">
        <v>224</v>
      </c>
      <c r="D11" t="s">
        <v>208</v>
      </c>
      <c r="E11">
        <v>2.4</v>
      </c>
    </row>
    <row r="12" spans="1:9" x14ac:dyDescent="0.25">
      <c r="A12" t="s">
        <v>317</v>
      </c>
      <c r="B12" t="s">
        <v>318</v>
      </c>
      <c r="C12" t="s">
        <v>224</v>
      </c>
      <c r="D12" t="s">
        <v>208</v>
      </c>
      <c r="E12">
        <v>2.46</v>
      </c>
      <c r="H12" t="s">
        <v>299</v>
      </c>
      <c r="I12" s="90" t="s">
        <v>217</v>
      </c>
    </row>
    <row r="13" spans="1:9" x14ac:dyDescent="0.25">
      <c r="A13" t="s">
        <v>319</v>
      </c>
      <c r="B13" t="s">
        <v>320</v>
      </c>
      <c r="C13" t="s">
        <v>224</v>
      </c>
      <c r="D13" t="s">
        <v>208</v>
      </c>
      <c r="E13">
        <v>2.48</v>
      </c>
    </row>
    <row r="14" spans="1:9" x14ac:dyDescent="0.25">
      <c r="A14" t="s">
        <v>321</v>
      </c>
      <c r="B14" t="s">
        <v>322</v>
      </c>
      <c r="C14" t="s">
        <v>224</v>
      </c>
      <c r="D14" t="s">
        <v>208</v>
      </c>
      <c r="E14">
        <v>2.5</v>
      </c>
    </row>
    <row r="15" spans="1:9" x14ac:dyDescent="0.25">
      <c r="A15" t="s">
        <v>323</v>
      </c>
      <c r="B15" t="s">
        <v>324</v>
      </c>
      <c r="C15" t="s">
        <v>224</v>
      </c>
      <c r="D15" t="s">
        <v>200</v>
      </c>
      <c r="E15">
        <v>2.68</v>
      </c>
    </row>
    <row r="16" spans="1:9" x14ac:dyDescent="0.25">
      <c r="A16" t="s">
        <v>325</v>
      </c>
      <c r="B16" t="s">
        <v>326</v>
      </c>
      <c r="C16" t="s">
        <v>227</v>
      </c>
      <c r="D16" t="s">
        <v>200</v>
      </c>
      <c r="E16">
        <v>2.68</v>
      </c>
    </row>
    <row r="17" spans="1:15" x14ac:dyDescent="0.25">
      <c r="A17" t="s">
        <v>327</v>
      </c>
      <c r="B17" t="s">
        <v>328</v>
      </c>
      <c r="C17" t="s">
        <v>224</v>
      </c>
      <c r="D17" t="s">
        <v>200</v>
      </c>
      <c r="E17">
        <v>2.72</v>
      </c>
      <c r="K17" t="s">
        <v>183</v>
      </c>
      <c r="L17" t="s">
        <v>210</v>
      </c>
      <c r="M17" s="90" t="s">
        <v>211</v>
      </c>
      <c r="N17" t="s">
        <v>212</v>
      </c>
      <c r="O17" t="s">
        <v>213</v>
      </c>
    </row>
    <row r="18" spans="1:15" x14ac:dyDescent="0.25">
      <c r="A18" t="s">
        <v>329</v>
      </c>
      <c r="B18" t="s">
        <v>330</v>
      </c>
      <c r="C18" t="s">
        <v>227</v>
      </c>
      <c r="D18" t="s">
        <v>200</v>
      </c>
      <c r="E18">
        <v>2.72</v>
      </c>
      <c r="K18" t="s">
        <v>197</v>
      </c>
      <c r="L18" t="s">
        <v>198</v>
      </c>
      <c r="M18" s="90" t="s">
        <v>199</v>
      </c>
      <c r="N18" t="s">
        <v>200</v>
      </c>
      <c r="O18">
        <v>149</v>
      </c>
    </row>
    <row r="19" spans="1:15" x14ac:dyDescent="0.25">
      <c r="A19" t="s">
        <v>331</v>
      </c>
      <c r="B19" t="s">
        <v>332</v>
      </c>
      <c r="C19" t="s">
        <v>224</v>
      </c>
      <c r="D19" t="s">
        <v>203</v>
      </c>
      <c r="E19">
        <v>2.73</v>
      </c>
      <c r="K19" t="s">
        <v>201</v>
      </c>
      <c r="L19" t="s">
        <v>202</v>
      </c>
      <c r="M19" t="s">
        <v>199</v>
      </c>
      <c r="N19" t="s">
        <v>203</v>
      </c>
      <c r="O19">
        <v>168</v>
      </c>
    </row>
    <row r="20" spans="1:15" x14ac:dyDescent="0.25">
      <c r="A20" t="s">
        <v>333</v>
      </c>
      <c r="B20" t="s">
        <v>334</v>
      </c>
      <c r="C20" t="s">
        <v>227</v>
      </c>
      <c r="D20" t="s">
        <v>203</v>
      </c>
      <c r="E20">
        <v>2.73</v>
      </c>
      <c r="K20" t="s">
        <v>204</v>
      </c>
      <c r="L20" t="s">
        <v>205</v>
      </c>
      <c r="M20" t="s">
        <v>199</v>
      </c>
      <c r="N20" t="s">
        <v>200</v>
      </c>
      <c r="O20">
        <v>185</v>
      </c>
    </row>
    <row r="21" spans="1:15" x14ac:dyDescent="0.25">
      <c r="A21" t="s">
        <v>335</v>
      </c>
      <c r="B21" t="s">
        <v>336</v>
      </c>
      <c r="C21" t="s">
        <v>224</v>
      </c>
      <c r="D21" t="s">
        <v>200</v>
      </c>
      <c r="E21">
        <v>2.76</v>
      </c>
      <c r="K21" t="s">
        <v>206</v>
      </c>
      <c r="L21" t="s">
        <v>207</v>
      </c>
      <c r="M21" t="s">
        <v>199</v>
      </c>
      <c r="N21" t="s">
        <v>208</v>
      </c>
      <c r="O21">
        <v>189</v>
      </c>
    </row>
    <row r="22" spans="1:15" x14ac:dyDescent="0.25">
      <c r="A22" t="s">
        <v>337</v>
      </c>
      <c r="B22" t="s">
        <v>338</v>
      </c>
      <c r="C22" t="s">
        <v>227</v>
      </c>
      <c r="D22" t="s">
        <v>200</v>
      </c>
      <c r="E22">
        <v>2.76</v>
      </c>
    </row>
    <row r="23" spans="1:15" x14ac:dyDescent="0.25">
      <c r="A23" t="s">
        <v>339</v>
      </c>
      <c r="B23" t="s">
        <v>340</v>
      </c>
      <c r="C23" t="s">
        <v>224</v>
      </c>
      <c r="D23" t="s">
        <v>203</v>
      </c>
      <c r="E23">
        <v>2.77</v>
      </c>
    </row>
    <row r="24" spans="1:15" x14ac:dyDescent="0.25">
      <c r="A24" t="s">
        <v>341</v>
      </c>
      <c r="B24" t="s">
        <v>342</v>
      </c>
      <c r="C24" t="s">
        <v>227</v>
      </c>
      <c r="D24" t="s">
        <v>203</v>
      </c>
      <c r="E24">
        <v>2.77</v>
      </c>
    </row>
    <row r="25" spans="1:15" x14ac:dyDescent="0.25">
      <c r="A25" t="s">
        <v>343</v>
      </c>
      <c r="B25" t="s">
        <v>344</v>
      </c>
      <c r="C25" t="s">
        <v>224</v>
      </c>
      <c r="D25" t="s">
        <v>200</v>
      </c>
      <c r="E25">
        <v>2.8</v>
      </c>
    </row>
    <row r="26" spans="1:15" x14ac:dyDescent="0.25">
      <c r="A26" t="s">
        <v>345</v>
      </c>
      <c r="B26" t="s">
        <v>346</v>
      </c>
      <c r="C26" t="s">
        <v>227</v>
      </c>
      <c r="D26" t="s">
        <v>200</v>
      </c>
      <c r="E26">
        <v>2.8</v>
      </c>
    </row>
    <row r="27" spans="1:15" x14ac:dyDescent="0.25">
      <c r="A27" t="s">
        <v>347</v>
      </c>
      <c r="B27" t="s">
        <v>348</v>
      </c>
      <c r="C27" t="s">
        <v>224</v>
      </c>
      <c r="D27" t="s">
        <v>203</v>
      </c>
      <c r="E27">
        <v>2.81</v>
      </c>
    </row>
    <row r="28" spans="1:15" x14ac:dyDescent="0.25">
      <c r="A28" t="s">
        <v>349</v>
      </c>
      <c r="B28" t="s">
        <v>350</v>
      </c>
      <c r="C28" t="s">
        <v>227</v>
      </c>
      <c r="D28" t="s">
        <v>203</v>
      </c>
      <c r="E28">
        <v>2.81</v>
      </c>
    </row>
    <row r="29" spans="1:15" x14ac:dyDescent="0.25">
      <c r="A29" t="s">
        <v>351</v>
      </c>
      <c r="B29" t="s">
        <v>352</v>
      </c>
      <c r="C29" t="s">
        <v>224</v>
      </c>
      <c r="D29" t="s">
        <v>200</v>
      </c>
      <c r="E29">
        <v>2.84</v>
      </c>
    </row>
    <row r="30" spans="1:15" x14ac:dyDescent="0.25">
      <c r="A30" t="s">
        <v>353</v>
      </c>
      <c r="B30" t="s">
        <v>354</v>
      </c>
      <c r="C30" t="s">
        <v>227</v>
      </c>
      <c r="D30" t="s">
        <v>200</v>
      </c>
      <c r="E30">
        <v>2.84</v>
      </c>
    </row>
    <row r="31" spans="1:15" x14ac:dyDescent="0.25">
      <c r="A31" t="s">
        <v>355</v>
      </c>
      <c r="B31" t="s">
        <v>356</v>
      </c>
      <c r="C31" t="s">
        <v>224</v>
      </c>
      <c r="D31" t="s">
        <v>203</v>
      </c>
      <c r="E31">
        <v>2.85</v>
      </c>
    </row>
    <row r="32" spans="1:15" x14ac:dyDescent="0.25">
      <c r="A32" t="s">
        <v>357</v>
      </c>
      <c r="B32" t="s">
        <v>358</v>
      </c>
      <c r="C32" t="s">
        <v>227</v>
      </c>
      <c r="D32" t="s">
        <v>203</v>
      </c>
      <c r="E32">
        <v>2.85</v>
      </c>
    </row>
    <row r="33" spans="1:5" x14ac:dyDescent="0.25">
      <c r="A33" t="s">
        <v>359</v>
      </c>
      <c r="B33" t="s">
        <v>360</v>
      </c>
      <c r="C33" t="s">
        <v>224</v>
      </c>
      <c r="D33" t="s">
        <v>208</v>
      </c>
      <c r="E33">
        <v>2.88</v>
      </c>
    </row>
    <row r="34" spans="1:5" x14ac:dyDescent="0.25">
      <c r="A34" t="s">
        <v>361</v>
      </c>
      <c r="B34" t="s">
        <v>362</v>
      </c>
      <c r="C34" t="s">
        <v>227</v>
      </c>
      <c r="D34" t="s">
        <v>208</v>
      </c>
      <c r="E34">
        <v>2.88</v>
      </c>
    </row>
    <row r="35" spans="1:5" x14ac:dyDescent="0.25">
      <c r="A35" t="s">
        <v>363</v>
      </c>
      <c r="B35" t="s">
        <v>364</v>
      </c>
      <c r="C35" t="s">
        <v>224</v>
      </c>
      <c r="D35" t="s">
        <v>208</v>
      </c>
      <c r="E35">
        <v>2.92</v>
      </c>
    </row>
    <row r="36" spans="1:5" x14ac:dyDescent="0.25">
      <c r="A36" t="s">
        <v>365</v>
      </c>
      <c r="B36" t="s">
        <v>366</v>
      </c>
      <c r="C36" t="s">
        <v>227</v>
      </c>
      <c r="D36" t="s">
        <v>208</v>
      </c>
      <c r="E36">
        <v>2.92</v>
      </c>
    </row>
    <row r="37" spans="1:5" x14ac:dyDescent="0.25">
      <c r="A37" t="s">
        <v>367</v>
      </c>
      <c r="B37" t="s">
        <v>368</v>
      </c>
      <c r="C37" t="s">
        <v>224</v>
      </c>
      <c r="D37" t="s">
        <v>208</v>
      </c>
      <c r="E37">
        <v>2.96</v>
      </c>
    </row>
    <row r="38" spans="1:5" x14ac:dyDescent="0.25">
      <c r="A38" t="s">
        <v>369</v>
      </c>
      <c r="B38" t="s">
        <v>370</v>
      </c>
      <c r="C38" t="s">
        <v>227</v>
      </c>
      <c r="D38" t="s">
        <v>208</v>
      </c>
      <c r="E38">
        <v>2.96</v>
      </c>
    </row>
    <row r="39" spans="1:5" x14ac:dyDescent="0.25">
      <c r="A39" t="s">
        <v>371</v>
      </c>
      <c r="B39" t="s">
        <v>372</v>
      </c>
      <c r="C39" t="s">
        <v>224</v>
      </c>
      <c r="D39" t="s">
        <v>208</v>
      </c>
      <c r="E39">
        <v>3</v>
      </c>
    </row>
    <row r="40" spans="1:5" x14ac:dyDescent="0.25">
      <c r="A40" t="s">
        <v>373</v>
      </c>
      <c r="B40" t="s">
        <v>374</v>
      </c>
      <c r="C40" t="s">
        <v>227</v>
      </c>
      <c r="D40" t="s">
        <v>208</v>
      </c>
      <c r="E40">
        <v>3</v>
      </c>
    </row>
    <row r="41" spans="1:5" x14ac:dyDescent="0.25">
      <c r="A41" t="s">
        <v>375</v>
      </c>
      <c r="B41" t="s">
        <v>376</v>
      </c>
      <c r="C41" t="s">
        <v>224</v>
      </c>
      <c r="D41" t="s">
        <v>208</v>
      </c>
      <c r="E41">
        <v>3.04</v>
      </c>
    </row>
    <row r="42" spans="1:5" x14ac:dyDescent="0.25">
      <c r="A42" t="s">
        <v>377</v>
      </c>
      <c r="B42" t="s">
        <v>378</v>
      </c>
      <c r="C42" t="s">
        <v>227</v>
      </c>
      <c r="D42" t="s">
        <v>208</v>
      </c>
      <c r="E42">
        <v>3.04</v>
      </c>
    </row>
    <row r="43" spans="1:5" x14ac:dyDescent="0.25">
      <c r="A43" t="s">
        <v>379</v>
      </c>
      <c r="B43" t="s">
        <v>380</v>
      </c>
      <c r="C43" t="s">
        <v>224</v>
      </c>
      <c r="D43" t="s">
        <v>200</v>
      </c>
      <c r="E43">
        <v>14.77</v>
      </c>
    </row>
    <row r="44" spans="1:5" x14ac:dyDescent="0.25">
      <c r="A44" t="s">
        <v>381</v>
      </c>
      <c r="B44" t="s">
        <v>382</v>
      </c>
      <c r="C44" t="s">
        <v>224</v>
      </c>
      <c r="D44" t="s">
        <v>200</v>
      </c>
      <c r="E44">
        <v>15.13</v>
      </c>
    </row>
    <row r="45" spans="1:5" x14ac:dyDescent="0.25">
      <c r="A45" t="s">
        <v>383</v>
      </c>
      <c r="B45" t="s">
        <v>384</v>
      </c>
      <c r="C45" t="s">
        <v>224</v>
      </c>
      <c r="D45" t="s">
        <v>200</v>
      </c>
      <c r="E45">
        <v>15.42</v>
      </c>
    </row>
    <row r="46" spans="1:5" x14ac:dyDescent="0.25">
      <c r="A46" t="s">
        <v>385</v>
      </c>
      <c r="B46" t="s">
        <v>386</v>
      </c>
      <c r="C46" t="s">
        <v>224</v>
      </c>
      <c r="D46" t="s">
        <v>200</v>
      </c>
      <c r="E46">
        <v>15.68</v>
      </c>
    </row>
    <row r="47" spans="1:5" x14ac:dyDescent="0.25">
      <c r="A47" t="s">
        <v>387</v>
      </c>
      <c r="B47" t="s">
        <v>388</v>
      </c>
      <c r="C47" t="s">
        <v>224</v>
      </c>
      <c r="D47" t="s">
        <v>208</v>
      </c>
      <c r="E47">
        <v>18.77</v>
      </c>
    </row>
    <row r="48" spans="1:5" x14ac:dyDescent="0.25">
      <c r="A48" t="s">
        <v>389</v>
      </c>
      <c r="B48" t="s">
        <v>390</v>
      </c>
      <c r="C48" t="s">
        <v>224</v>
      </c>
      <c r="D48" t="s">
        <v>208</v>
      </c>
      <c r="E48">
        <v>19.13</v>
      </c>
    </row>
    <row r="49" spans="1:5" x14ac:dyDescent="0.25">
      <c r="A49" t="s">
        <v>391</v>
      </c>
      <c r="B49" t="s">
        <v>392</v>
      </c>
      <c r="C49" t="s">
        <v>224</v>
      </c>
      <c r="D49" t="s">
        <v>208</v>
      </c>
      <c r="E49">
        <v>19.420000000000002</v>
      </c>
    </row>
    <row r="50" spans="1:5" x14ac:dyDescent="0.25">
      <c r="A50" t="s">
        <v>393</v>
      </c>
      <c r="B50" t="s">
        <v>394</v>
      </c>
      <c r="C50" t="s">
        <v>224</v>
      </c>
      <c r="D50" t="s">
        <v>208</v>
      </c>
      <c r="E50">
        <v>19.77</v>
      </c>
    </row>
    <row r="51" spans="1:5" x14ac:dyDescent="0.25">
      <c r="A51" t="s">
        <v>395</v>
      </c>
      <c r="B51" t="s">
        <v>396</v>
      </c>
      <c r="C51" t="s">
        <v>224</v>
      </c>
      <c r="D51" t="s">
        <v>208</v>
      </c>
      <c r="E51">
        <v>19.79</v>
      </c>
    </row>
    <row r="52" spans="1:5" x14ac:dyDescent="0.25">
      <c r="A52" t="s">
        <v>397</v>
      </c>
      <c r="B52" t="s">
        <v>398</v>
      </c>
      <c r="C52" t="s">
        <v>224</v>
      </c>
      <c r="D52" t="s">
        <v>208</v>
      </c>
      <c r="E52">
        <v>19.899999999999999</v>
      </c>
    </row>
    <row r="53" spans="1:5" x14ac:dyDescent="0.25">
      <c r="A53" t="s">
        <v>399</v>
      </c>
      <c r="B53" t="s">
        <v>400</v>
      </c>
      <c r="C53" t="s">
        <v>224</v>
      </c>
      <c r="D53" t="s">
        <v>208</v>
      </c>
      <c r="E53">
        <v>20</v>
      </c>
    </row>
    <row r="54" spans="1:5" x14ac:dyDescent="0.25">
      <c r="A54" t="s">
        <v>401</v>
      </c>
      <c r="B54" t="s">
        <v>402</v>
      </c>
      <c r="C54" t="s">
        <v>224</v>
      </c>
      <c r="D54" t="s">
        <v>208</v>
      </c>
      <c r="E54">
        <v>20.13</v>
      </c>
    </row>
    <row r="55" spans="1:5" x14ac:dyDescent="0.25">
      <c r="A55" t="s">
        <v>403</v>
      </c>
      <c r="B55" t="s">
        <v>404</v>
      </c>
      <c r="C55" t="s">
        <v>224</v>
      </c>
      <c r="D55" t="s">
        <v>200</v>
      </c>
      <c r="E55">
        <v>20.350000000000001</v>
      </c>
    </row>
    <row r="56" spans="1:5" x14ac:dyDescent="0.25">
      <c r="A56" t="s">
        <v>405</v>
      </c>
      <c r="B56" t="s">
        <v>406</v>
      </c>
      <c r="C56" t="s">
        <v>227</v>
      </c>
      <c r="D56" t="s">
        <v>200</v>
      </c>
      <c r="E56">
        <v>20.350000000000001</v>
      </c>
    </row>
    <row r="57" spans="1:5" x14ac:dyDescent="0.25">
      <c r="A57" t="s">
        <v>407</v>
      </c>
      <c r="B57" t="s">
        <v>408</v>
      </c>
      <c r="C57" t="s">
        <v>224</v>
      </c>
      <c r="D57" t="s">
        <v>208</v>
      </c>
      <c r="E57">
        <v>20.420000000000002</v>
      </c>
    </row>
    <row r="58" spans="1:5" x14ac:dyDescent="0.25">
      <c r="A58" t="s">
        <v>409</v>
      </c>
      <c r="B58" t="s">
        <v>410</v>
      </c>
      <c r="C58" t="s">
        <v>224</v>
      </c>
      <c r="D58" t="s">
        <v>200</v>
      </c>
      <c r="E58">
        <v>20.77</v>
      </c>
    </row>
    <row r="59" spans="1:5" x14ac:dyDescent="0.25">
      <c r="A59" t="s">
        <v>411</v>
      </c>
      <c r="B59" t="s">
        <v>412</v>
      </c>
      <c r="C59" t="s">
        <v>227</v>
      </c>
      <c r="D59" t="s">
        <v>200</v>
      </c>
      <c r="E59">
        <v>20.77</v>
      </c>
    </row>
    <row r="60" spans="1:5" x14ac:dyDescent="0.25">
      <c r="A60" t="s">
        <v>413</v>
      </c>
      <c r="B60" t="s">
        <v>414</v>
      </c>
      <c r="C60" t="s">
        <v>224</v>
      </c>
      <c r="D60" t="s">
        <v>208</v>
      </c>
      <c r="E60">
        <v>20.79</v>
      </c>
    </row>
    <row r="61" spans="1:5" x14ac:dyDescent="0.25">
      <c r="A61" t="s">
        <v>415</v>
      </c>
      <c r="B61" t="s">
        <v>416</v>
      </c>
      <c r="C61" t="s">
        <v>224</v>
      </c>
      <c r="D61" t="s">
        <v>200</v>
      </c>
      <c r="E61">
        <v>21.13</v>
      </c>
    </row>
    <row r="62" spans="1:5" x14ac:dyDescent="0.25">
      <c r="A62" t="s">
        <v>417</v>
      </c>
      <c r="B62" t="s">
        <v>418</v>
      </c>
      <c r="C62" t="s">
        <v>227</v>
      </c>
      <c r="D62" t="s">
        <v>200</v>
      </c>
      <c r="E62">
        <v>21.13</v>
      </c>
    </row>
    <row r="63" spans="1:5" x14ac:dyDescent="0.25">
      <c r="A63" t="s">
        <v>419</v>
      </c>
      <c r="B63" t="s">
        <v>420</v>
      </c>
      <c r="C63" t="s">
        <v>224</v>
      </c>
      <c r="D63" t="s">
        <v>200</v>
      </c>
      <c r="E63">
        <v>21.42</v>
      </c>
    </row>
    <row r="64" spans="1:5" x14ac:dyDescent="0.25">
      <c r="A64" t="s">
        <v>421</v>
      </c>
      <c r="B64" t="s">
        <v>422</v>
      </c>
      <c r="C64" t="s">
        <v>227</v>
      </c>
      <c r="D64" t="s">
        <v>200</v>
      </c>
      <c r="E64">
        <v>21.42</v>
      </c>
    </row>
    <row r="65" spans="1:5" x14ac:dyDescent="0.25">
      <c r="A65" t="s">
        <v>423</v>
      </c>
      <c r="B65" t="s">
        <v>424</v>
      </c>
      <c r="C65" t="s">
        <v>224</v>
      </c>
      <c r="D65" t="s">
        <v>200</v>
      </c>
      <c r="E65">
        <v>23.35</v>
      </c>
    </row>
    <row r="66" spans="1:5" x14ac:dyDescent="0.25">
      <c r="A66" t="s">
        <v>425</v>
      </c>
      <c r="B66" t="s">
        <v>426</v>
      </c>
      <c r="C66" t="s">
        <v>227</v>
      </c>
      <c r="D66" t="s">
        <v>200</v>
      </c>
      <c r="E66">
        <v>23.35</v>
      </c>
    </row>
    <row r="67" spans="1:5" x14ac:dyDescent="0.25">
      <c r="A67" t="s">
        <v>427</v>
      </c>
      <c r="B67" t="s">
        <v>428</v>
      </c>
      <c r="C67" t="s">
        <v>224</v>
      </c>
      <c r="D67" t="s">
        <v>200</v>
      </c>
      <c r="E67">
        <v>23.77</v>
      </c>
    </row>
    <row r="68" spans="1:5" x14ac:dyDescent="0.25">
      <c r="A68" t="s">
        <v>429</v>
      </c>
      <c r="B68" t="s">
        <v>430</v>
      </c>
      <c r="C68" t="s">
        <v>227</v>
      </c>
      <c r="D68" t="s">
        <v>200</v>
      </c>
      <c r="E68">
        <v>23.77</v>
      </c>
    </row>
    <row r="69" spans="1:5" x14ac:dyDescent="0.25">
      <c r="A69" t="s">
        <v>431</v>
      </c>
      <c r="B69" t="s">
        <v>432</v>
      </c>
      <c r="C69" t="s">
        <v>224</v>
      </c>
      <c r="D69" t="s">
        <v>200</v>
      </c>
      <c r="E69">
        <v>24.13</v>
      </c>
    </row>
    <row r="70" spans="1:5" x14ac:dyDescent="0.25">
      <c r="A70" t="s">
        <v>433</v>
      </c>
      <c r="B70" t="s">
        <v>434</v>
      </c>
      <c r="C70" t="s">
        <v>227</v>
      </c>
      <c r="D70" t="s">
        <v>200</v>
      </c>
      <c r="E70">
        <v>24.13</v>
      </c>
    </row>
    <row r="71" spans="1:5" x14ac:dyDescent="0.25">
      <c r="A71" t="s">
        <v>435</v>
      </c>
      <c r="B71" t="s">
        <v>436</v>
      </c>
      <c r="C71" t="s">
        <v>224</v>
      </c>
      <c r="D71" t="s">
        <v>203</v>
      </c>
      <c r="E71">
        <v>25.35</v>
      </c>
    </row>
    <row r="72" spans="1:5" x14ac:dyDescent="0.25">
      <c r="A72" t="s">
        <v>437</v>
      </c>
      <c r="B72" t="s">
        <v>438</v>
      </c>
      <c r="C72" t="s">
        <v>224</v>
      </c>
      <c r="D72" t="s">
        <v>203</v>
      </c>
      <c r="E72">
        <v>25.77</v>
      </c>
    </row>
    <row r="73" spans="1:5" x14ac:dyDescent="0.25">
      <c r="A73" t="s">
        <v>439</v>
      </c>
      <c r="B73" t="s">
        <v>440</v>
      </c>
      <c r="C73" t="s">
        <v>224</v>
      </c>
      <c r="D73" t="s">
        <v>203</v>
      </c>
      <c r="E73">
        <v>26.13</v>
      </c>
    </row>
    <row r="74" spans="1:5" x14ac:dyDescent="0.25">
      <c r="A74" t="s">
        <v>441</v>
      </c>
      <c r="B74" t="s">
        <v>442</v>
      </c>
      <c r="C74" t="s">
        <v>227</v>
      </c>
      <c r="D74" t="s">
        <v>203</v>
      </c>
      <c r="E74">
        <v>26.35</v>
      </c>
    </row>
    <row r="75" spans="1:5" x14ac:dyDescent="0.25">
      <c r="A75" t="s">
        <v>443</v>
      </c>
      <c r="B75" t="s">
        <v>444</v>
      </c>
      <c r="C75" t="s">
        <v>224</v>
      </c>
      <c r="D75" t="s">
        <v>203</v>
      </c>
      <c r="E75">
        <v>26.42</v>
      </c>
    </row>
    <row r="76" spans="1:5" x14ac:dyDescent="0.25">
      <c r="A76" t="s">
        <v>445</v>
      </c>
      <c r="B76" t="s">
        <v>446</v>
      </c>
      <c r="C76" t="s">
        <v>227</v>
      </c>
      <c r="D76" t="s">
        <v>203</v>
      </c>
      <c r="E76">
        <v>26.77</v>
      </c>
    </row>
    <row r="77" spans="1:5" x14ac:dyDescent="0.25">
      <c r="A77" t="s">
        <v>447</v>
      </c>
      <c r="B77" t="s">
        <v>448</v>
      </c>
      <c r="C77" t="s">
        <v>227</v>
      </c>
      <c r="D77" t="s">
        <v>203</v>
      </c>
      <c r="E77">
        <v>27.13</v>
      </c>
    </row>
    <row r="78" spans="1:5" x14ac:dyDescent="0.25">
      <c r="A78" t="s">
        <v>449</v>
      </c>
      <c r="B78" t="s">
        <v>450</v>
      </c>
      <c r="C78" t="s">
        <v>224</v>
      </c>
      <c r="D78" t="s">
        <v>208</v>
      </c>
      <c r="E78">
        <v>27.35</v>
      </c>
    </row>
    <row r="79" spans="1:5" x14ac:dyDescent="0.25">
      <c r="A79" t="s">
        <v>451</v>
      </c>
      <c r="B79" t="s">
        <v>452</v>
      </c>
      <c r="C79" t="s">
        <v>227</v>
      </c>
      <c r="D79" t="s">
        <v>208</v>
      </c>
      <c r="E79">
        <v>27.35</v>
      </c>
    </row>
    <row r="80" spans="1:5" x14ac:dyDescent="0.25">
      <c r="A80" t="s">
        <v>453</v>
      </c>
      <c r="B80" t="s">
        <v>454</v>
      </c>
      <c r="C80" t="s">
        <v>227</v>
      </c>
      <c r="D80" t="s">
        <v>203</v>
      </c>
      <c r="E80">
        <v>27.42</v>
      </c>
    </row>
    <row r="81" spans="1:5" x14ac:dyDescent="0.25">
      <c r="A81" t="s">
        <v>455</v>
      </c>
      <c r="B81" t="s">
        <v>456</v>
      </c>
      <c r="C81" t="s">
        <v>224</v>
      </c>
      <c r="D81" t="s">
        <v>208</v>
      </c>
      <c r="E81">
        <v>27.77</v>
      </c>
    </row>
    <row r="82" spans="1:5" x14ac:dyDescent="0.25">
      <c r="A82" t="s">
        <v>457</v>
      </c>
      <c r="B82" t="s">
        <v>458</v>
      </c>
      <c r="C82" t="s">
        <v>227</v>
      </c>
      <c r="D82" t="s">
        <v>208</v>
      </c>
      <c r="E82">
        <v>27.77</v>
      </c>
    </row>
    <row r="83" spans="1:5" x14ac:dyDescent="0.25">
      <c r="A83" t="s">
        <v>459</v>
      </c>
      <c r="B83" t="s">
        <v>460</v>
      </c>
      <c r="C83" t="s">
        <v>224</v>
      </c>
      <c r="D83" t="s">
        <v>208</v>
      </c>
      <c r="E83">
        <v>28.13</v>
      </c>
    </row>
    <row r="84" spans="1:5" x14ac:dyDescent="0.25">
      <c r="A84" t="s">
        <v>461</v>
      </c>
      <c r="B84" t="s">
        <v>462</v>
      </c>
      <c r="C84" t="s">
        <v>227</v>
      </c>
      <c r="D84" t="s">
        <v>208</v>
      </c>
      <c r="E84">
        <v>28.13</v>
      </c>
    </row>
    <row r="85" spans="1:5" x14ac:dyDescent="0.25">
      <c r="A85" t="s">
        <v>463</v>
      </c>
      <c r="B85" t="s">
        <v>464</v>
      </c>
      <c r="C85" t="s">
        <v>224</v>
      </c>
      <c r="D85" t="s">
        <v>208</v>
      </c>
      <c r="E85">
        <v>28.42</v>
      </c>
    </row>
    <row r="86" spans="1:5" x14ac:dyDescent="0.25">
      <c r="A86" t="s">
        <v>465</v>
      </c>
      <c r="B86" t="s">
        <v>466</v>
      </c>
      <c r="C86" t="s">
        <v>227</v>
      </c>
      <c r="D86" t="s">
        <v>208</v>
      </c>
      <c r="E86">
        <v>28.42</v>
      </c>
    </row>
    <row r="87" spans="1:5" x14ac:dyDescent="0.25">
      <c r="A87" t="s">
        <v>467</v>
      </c>
      <c r="B87" t="s">
        <v>468</v>
      </c>
      <c r="C87" t="s">
        <v>224</v>
      </c>
      <c r="D87" t="s">
        <v>208</v>
      </c>
      <c r="E87">
        <v>28.68</v>
      </c>
    </row>
    <row r="88" spans="1:5" x14ac:dyDescent="0.25">
      <c r="A88" t="s">
        <v>469</v>
      </c>
      <c r="B88" t="s">
        <v>470</v>
      </c>
      <c r="C88" t="s">
        <v>227</v>
      </c>
      <c r="D88" t="s">
        <v>208</v>
      </c>
      <c r="E88">
        <v>28.68</v>
      </c>
    </row>
  </sheetData>
  <sheetProtection algorithmName="SHA-512" hashValue="jXgslIcGQrn11I3vHkjRvXgZp6V70QM+jGGwgqKM2FQStTFuHSFjnDcaYVMoxLqjQPWnJtshyB123zNQpu/TJA==" saltValue="0LVOEzNmZQdYCJ0IAQGs3g==" spinCount="100000" sheet="1" objects="1" scenarios="1"/>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A89A5-817A-4F11-A3B4-32F72CEC3DE8}">
  <sheetPr codeName="Sheet7"/>
  <dimension ref="A1:N19"/>
  <sheetViews>
    <sheetView workbookViewId="0">
      <selection activeCell="O18" sqref="O18"/>
    </sheetView>
  </sheetViews>
  <sheetFormatPr defaultRowHeight="15" x14ac:dyDescent="0.25"/>
  <cols>
    <col min="1" max="1" width="28.85546875" customWidth="1"/>
    <col min="2" max="3" width="12.140625" customWidth="1"/>
    <col min="5" max="5" width="23.42578125" customWidth="1"/>
  </cols>
  <sheetData>
    <row r="1" spans="1:14" x14ac:dyDescent="0.25">
      <c r="A1" s="88" t="s">
        <v>164</v>
      </c>
      <c r="E1" t="s">
        <v>177</v>
      </c>
      <c r="G1" t="s">
        <v>296</v>
      </c>
    </row>
    <row r="2" spans="1:14" ht="15.75" x14ac:dyDescent="0.25">
      <c r="A2" s="89" t="s">
        <v>472</v>
      </c>
    </row>
    <row r="3" spans="1:14" x14ac:dyDescent="0.25">
      <c r="A3" t="s">
        <v>168</v>
      </c>
      <c r="G3" t="s">
        <v>209</v>
      </c>
      <c r="N3" s="119" t="s">
        <v>568</v>
      </c>
    </row>
    <row r="4" spans="1:14" x14ac:dyDescent="0.25">
      <c r="N4" s="119" t="s">
        <v>561</v>
      </c>
    </row>
    <row r="5" spans="1:14" x14ac:dyDescent="0.25">
      <c r="A5" s="104" t="s">
        <v>183</v>
      </c>
      <c r="B5" s="86" t="s">
        <v>210</v>
      </c>
      <c r="C5" s="86" t="s">
        <v>211</v>
      </c>
      <c r="N5" s="119" t="s">
        <v>569</v>
      </c>
    </row>
    <row r="6" spans="1:14" x14ac:dyDescent="0.25">
      <c r="A6" s="86" t="s">
        <v>225</v>
      </c>
      <c r="B6" s="86" t="s">
        <v>226</v>
      </c>
      <c r="C6" s="86" t="s">
        <v>227</v>
      </c>
      <c r="N6" s="119" t="s">
        <v>570</v>
      </c>
    </row>
    <row r="7" spans="1:14" x14ac:dyDescent="0.25">
      <c r="A7" t="s">
        <v>228</v>
      </c>
      <c r="B7" t="s">
        <v>229</v>
      </c>
      <c r="C7" t="s">
        <v>227</v>
      </c>
      <c r="N7" s="119" t="s">
        <v>571</v>
      </c>
    </row>
    <row r="8" spans="1:14" x14ac:dyDescent="0.25">
      <c r="A8" t="s">
        <v>230</v>
      </c>
      <c r="B8" t="s">
        <v>231</v>
      </c>
      <c r="C8" t="s">
        <v>227</v>
      </c>
    </row>
    <row r="9" spans="1:14" x14ac:dyDescent="0.25">
      <c r="A9" t="s">
        <v>232</v>
      </c>
      <c r="B9" t="s">
        <v>233</v>
      </c>
      <c r="C9" t="s">
        <v>227</v>
      </c>
    </row>
    <row r="10" spans="1:14" x14ac:dyDescent="0.25">
      <c r="A10" t="s">
        <v>234</v>
      </c>
      <c r="B10" t="s">
        <v>235</v>
      </c>
      <c r="C10" t="s">
        <v>227</v>
      </c>
    </row>
    <row r="11" spans="1:14" x14ac:dyDescent="0.25">
      <c r="A11" t="s">
        <v>236</v>
      </c>
      <c r="B11" t="s">
        <v>237</v>
      </c>
      <c r="C11" t="s">
        <v>227</v>
      </c>
    </row>
    <row r="12" spans="1:14" x14ac:dyDescent="0.25">
      <c r="A12" t="s">
        <v>238</v>
      </c>
      <c r="B12" t="s">
        <v>239</v>
      </c>
      <c r="C12" t="s">
        <v>227</v>
      </c>
    </row>
    <row r="13" spans="1:14" x14ac:dyDescent="0.25">
      <c r="A13" t="s">
        <v>240</v>
      </c>
      <c r="B13" t="s">
        <v>241</v>
      </c>
      <c r="C13" t="s">
        <v>227</v>
      </c>
    </row>
    <row r="14" spans="1:14" x14ac:dyDescent="0.25">
      <c r="A14" t="s">
        <v>242</v>
      </c>
      <c r="B14" t="s">
        <v>243</v>
      </c>
      <c r="C14" t="s">
        <v>227</v>
      </c>
    </row>
    <row r="15" spans="1:14" x14ac:dyDescent="0.25">
      <c r="A15" t="s">
        <v>244</v>
      </c>
      <c r="B15" t="s">
        <v>245</v>
      </c>
      <c r="C15" t="s">
        <v>227</v>
      </c>
    </row>
    <row r="16" spans="1:14" x14ac:dyDescent="0.25">
      <c r="A16" t="s">
        <v>473</v>
      </c>
      <c r="B16" t="s">
        <v>474</v>
      </c>
      <c r="C16" t="s">
        <v>199</v>
      </c>
    </row>
    <row r="17" spans="1:3" x14ac:dyDescent="0.25">
      <c r="A17" t="s">
        <v>246</v>
      </c>
      <c r="B17" t="s">
        <v>247</v>
      </c>
      <c r="C17" t="s">
        <v>227</v>
      </c>
    </row>
    <row r="18" spans="1:3" x14ac:dyDescent="0.25">
      <c r="A18" t="s">
        <v>248</v>
      </c>
      <c r="B18" t="s">
        <v>249</v>
      </c>
      <c r="C18" t="s">
        <v>227</v>
      </c>
    </row>
    <row r="19" spans="1:3" x14ac:dyDescent="0.25">
      <c r="A19" t="s">
        <v>250</v>
      </c>
      <c r="B19" t="s">
        <v>251</v>
      </c>
      <c r="C19" t="s">
        <v>227</v>
      </c>
    </row>
  </sheetData>
  <sheetProtection algorithmName="SHA-512" hashValue="LZqg73ifn+b6N8fRfcj6ILpxa9htp0awkiXEutRfZNw7hf2fvuipwwUsAYwVnZiEbAcwAhaV4LICRJ4UazTUcw==" saltValue="7gFIFLEBxmrtDvUZPYtIJg==" spinCount="100000" sheet="1" objects="1" scenarios="1"/>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F7DF9-9F58-4E28-BF3B-8AEC4ADF802A}">
  <sheetPr codeName="Sheet8"/>
  <dimension ref="A1:L18"/>
  <sheetViews>
    <sheetView workbookViewId="0">
      <selection activeCell="H3" sqref="H3"/>
    </sheetView>
  </sheetViews>
  <sheetFormatPr defaultRowHeight="15" x14ac:dyDescent="0.25"/>
  <cols>
    <col min="1" max="1" width="15.85546875" customWidth="1"/>
    <col min="2" max="2" width="15.5703125" customWidth="1"/>
  </cols>
  <sheetData>
    <row r="1" spans="1:12" x14ac:dyDescent="0.25">
      <c r="A1" cm="1">
        <f t="array" ref="A1">gradeGenericQuestionRange("Text", A4:C18,10,Question3!A5:C19)</f>
        <v>10.000003814697266</v>
      </c>
    </row>
    <row r="2" spans="1:12" x14ac:dyDescent="0.25">
      <c r="H2" s="90" t="s">
        <v>220</v>
      </c>
    </row>
    <row r="3" spans="1:12" x14ac:dyDescent="0.25">
      <c r="H3" s="90" t="s">
        <v>215</v>
      </c>
    </row>
    <row r="4" spans="1:12" x14ac:dyDescent="0.25">
      <c r="A4" s="91" t="s">
        <v>183</v>
      </c>
      <c r="B4" t="s">
        <v>210</v>
      </c>
      <c r="C4" t="s">
        <v>211</v>
      </c>
      <c r="H4" s="90" t="s">
        <v>471</v>
      </c>
    </row>
    <row r="5" spans="1:12" x14ac:dyDescent="0.25">
      <c r="A5" t="s">
        <v>225</v>
      </c>
      <c r="B5" t="s">
        <v>226</v>
      </c>
      <c r="C5" t="s">
        <v>227</v>
      </c>
      <c r="H5" s="90" t="s">
        <v>222</v>
      </c>
      <c r="L5" t="s">
        <v>199</v>
      </c>
    </row>
    <row r="6" spans="1:12" x14ac:dyDescent="0.25">
      <c r="A6" t="s">
        <v>228</v>
      </c>
      <c r="B6" t="s">
        <v>229</v>
      </c>
      <c r="C6" t="s">
        <v>227</v>
      </c>
      <c r="H6" s="90" t="s">
        <v>223</v>
      </c>
    </row>
    <row r="7" spans="1:12" x14ac:dyDescent="0.25">
      <c r="A7" t="s">
        <v>230</v>
      </c>
      <c r="B7" t="s">
        <v>231</v>
      </c>
      <c r="C7" t="s">
        <v>227</v>
      </c>
    </row>
    <row r="8" spans="1:12" x14ac:dyDescent="0.25">
      <c r="A8" t="s">
        <v>232</v>
      </c>
      <c r="B8" t="s">
        <v>233</v>
      </c>
      <c r="C8" t="s">
        <v>227</v>
      </c>
    </row>
    <row r="9" spans="1:12" x14ac:dyDescent="0.25">
      <c r="A9" t="s">
        <v>234</v>
      </c>
      <c r="B9" t="s">
        <v>235</v>
      </c>
      <c r="C9" t="s">
        <v>227</v>
      </c>
    </row>
    <row r="10" spans="1:12" x14ac:dyDescent="0.25">
      <c r="A10" t="s">
        <v>236</v>
      </c>
      <c r="B10" t="s">
        <v>237</v>
      </c>
      <c r="C10" t="s">
        <v>227</v>
      </c>
    </row>
    <row r="11" spans="1:12" x14ac:dyDescent="0.25">
      <c r="A11" t="s">
        <v>238</v>
      </c>
      <c r="B11" t="s">
        <v>239</v>
      </c>
      <c r="C11" t="s">
        <v>227</v>
      </c>
    </row>
    <row r="12" spans="1:12" x14ac:dyDescent="0.25">
      <c r="A12" t="s">
        <v>240</v>
      </c>
      <c r="B12" t="s">
        <v>241</v>
      </c>
      <c r="C12" t="s">
        <v>227</v>
      </c>
    </row>
    <row r="13" spans="1:12" x14ac:dyDescent="0.25">
      <c r="A13" t="s">
        <v>242</v>
      </c>
      <c r="B13" t="s">
        <v>243</v>
      </c>
      <c r="C13" t="s">
        <v>227</v>
      </c>
    </row>
    <row r="14" spans="1:12" x14ac:dyDescent="0.25">
      <c r="A14" t="s">
        <v>244</v>
      </c>
      <c r="B14" t="s">
        <v>245</v>
      </c>
      <c r="C14" t="s">
        <v>227</v>
      </c>
      <c r="J14" s="90" t="s">
        <v>221</v>
      </c>
    </row>
    <row r="15" spans="1:12" x14ac:dyDescent="0.25">
      <c r="A15" t="s">
        <v>473</v>
      </c>
      <c r="B15" t="s">
        <v>474</v>
      </c>
      <c r="C15" t="s">
        <v>199</v>
      </c>
    </row>
    <row r="16" spans="1:12" x14ac:dyDescent="0.25">
      <c r="A16" t="s">
        <v>246</v>
      </c>
      <c r="B16" t="s">
        <v>247</v>
      </c>
      <c r="C16" t="s">
        <v>227</v>
      </c>
    </row>
    <row r="17" spans="1:3" x14ac:dyDescent="0.25">
      <c r="A17" t="s">
        <v>248</v>
      </c>
      <c r="B17" t="s">
        <v>249</v>
      </c>
      <c r="C17" t="s">
        <v>227</v>
      </c>
    </row>
    <row r="18" spans="1:3" x14ac:dyDescent="0.25">
      <c r="A18" t="s">
        <v>250</v>
      </c>
      <c r="B18" t="s">
        <v>251</v>
      </c>
      <c r="C18" t="s">
        <v>227</v>
      </c>
    </row>
  </sheetData>
  <sheetProtection algorithmName="SHA-512" hashValue="w4IIcQ9LWeCzFoJ3UKE8lkLGVlPk6o6Z9hacX6zWQFYdxHbZ5bq8UEjb4vFKs84bS0mOiFzZvW3jHKrsRSlHqA==" saltValue="nYGWMozrvnCnBWuYdyid1Q==" spinCount="100000"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AFF0B3-1218-4B30-AA56-CA3D3BAFC3E9}">
  <sheetPr codeName="Sheet13"/>
  <dimension ref="A1:N295"/>
  <sheetViews>
    <sheetView workbookViewId="0">
      <selection activeCell="N5" sqref="N5:N9"/>
    </sheetView>
  </sheetViews>
  <sheetFormatPr defaultRowHeight="15" x14ac:dyDescent="0.25"/>
  <cols>
    <col min="1" max="1" width="15.28515625" customWidth="1"/>
    <col min="2" max="2" width="21.28515625" customWidth="1"/>
    <col min="3" max="3" width="14.7109375" customWidth="1"/>
    <col min="4" max="4" width="11.5703125" customWidth="1"/>
  </cols>
  <sheetData>
    <row r="1" spans="1:14" x14ac:dyDescent="0.25">
      <c r="A1" s="87" t="s">
        <v>167</v>
      </c>
      <c r="D1" t="s">
        <v>177</v>
      </c>
      <c r="G1" t="s">
        <v>185</v>
      </c>
      <c r="H1" t="s">
        <v>252</v>
      </c>
    </row>
    <row r="2" spans="1:14" ht="60" customHeight="1" x14ac:dyDescent="0.25">
      <c r="A2" s="130" t="s">
        <v>478</v>
      </c>
      <c r="B2" s="131"/>
      <c r="C2" s="131"/>
      <c r="D2" s="131"/>
      <c r="E2" s="131"/>
      <c r="F2" s="131"/>
      <c r="G2" s="131"/>
      <c r="H2" s="131"/>
    </row>
    <row r="3" spans="1:14" ht="15.75" x14ac:dyDescent="0.25">
      <c r="A3" s="89" t="s">
        <v>173</v>
      </c>
      <c r="K3" t="s">
        <v>209</v>
      </c>
    </row>
    <row r="5" spans="1:14" x14ac:dyDescent="0.25">
      <c r="A5" s="86" t="s">
        <v>253</v>
      </c>
      <c r="B5" s="86" t="s">
        <v>254</v>
      </c>
      <c r="C5" t="s">
        <v>255</v>
      </c>
      <c r="D5" s="93" t="s">
        <v>256</v>
      </c>
      <c r="N5" s="119" t="s">
        <v>575</v>
      </c>
    </row>
    <row r="6" spans="1:14" x14ac:dyDescent="0.25">
      <c r="A6" s="86">
        <v>48567</v>
      </c>
      <c r="B6" s="116">
        <v>41227</v>
      </c>
      <c r="C6">
        <v>14948</v>
      </c>
      <c r="D6" s="7">
        <v>7</v>
      </c>
      <c r="N6" s="119" t="s">
        <v>576</v>
      </c>
    </row>
    <row r="7" spans="1:14" x14ac:dyDescent="0.25">
      <c r="A7">
        <v>48568</v>
      </c>
      <c r="B7" s="117">
        <v>41227</v>
      </c>
      <c r="C7">
        <v>19296</v>
      </c>
      <c r="D7" s="7">
        <v>7</v>
      </c>
      <c r="N7" s="119" t="s">
        <v>577</v>
      </c>
    </row>
    <row r="8" spans="1:14" x14ac:dyDescent="0.25">
      <c r="A8">
        <v>48569</v>
      </c>
      <c r="B8" s="117">
        <v>41227</v>
      </c>
      <c r="C8">
        <v>20726</v>
      </c>
      <c r="D8" s="7">
        <v>8</v>
      </c>
      <c r="N8" s="119" t="s">
        <v>578</v>
      </c>
    </row>
    <row r="9" spans="1:14" x14ac:dyDescent="0.25">
      <c r="A9">
        <v>48570</v>
      </c>
      <c r="B9" s="117">
        <v>41227</v>
      </c>
      <c r="C9">
        <v>26504</v>
      </c>
      <c r="D9" s="7">
        <v>6</v>
      </c>
      <c r="N9" s="119" t="s">
        <v>579</v>
      </c>
    </row>
    <row r="10" spans="1:14" x14ac:dyDescent="0.25">
      <c r="A10">
        <v>48572</v>
      </c>
      <c r="B10" s="117">
        <v>41227</v>
      </c>
      <c r="C10">
        <v>28756</v>
      </c>
      <c r="D10" s="7">
        <v>7</v>
      </c>
    </row>
    <row r="11" spans="1:14" x14ac:dyDescent="0.25">
      <c r="A11">
        <v>48578</v>
      </c>
      <c r="B11" s="117">
        <v>41228</v>
      </c>
      <c r="C11">
        <v>17207</v>
      </c>
      <c r="D11" s="7">
        <v>10</v>
      </c>
    </row>
    <row r="12" spans="1:14" x14ac:dyDescent="0.25">
      <c r="A12">
        <v>48580</v>
      </c>
      <c r="B12" s="117">
        <v>41228</v>
      </c>
      <c r="C12">
        <v>12231</v>
      </c>
      <c r="D12" s="7">
        <v>8</v>
      </c>
    </row>
    <row r="13" spans="1:14" x14ac:dyDescent="0.25">
      <c r="A13">
        <v>48589</v>
      </c>
      <c r="B13" s="117">
        <v>41229</v>
      </c>
      <c r="C13">
        <v>17646</v>
      </c>
      <c r="D13" s="7">
        <v>7</v>
      </c>
    </row>
    <row r="14" spans="1:14" x14ac:dyDescent="0.25">
      <c r="A14">
        <v>48590</v>
      </c>
      <c r="B14" s="117">
        <v>41229</v>
      </c>
      <c r="C14">
        <v>28757</v>
      </c>
      <c r="D14" s="7">
        <v>7</v>
      </c>
    </row>
    <row r="15" spans="1:14" x14ac:dyDescent="0.25">
      <c r="A15">
        <v>48591</v>
      </c>
      <c r="B15" s="117">
        <v>41229</v>
      </c>
      <c r="C15">
        <v>28739</v>
      </c>
      <c r="D15" s="7">
        <v>7</v>
      </c>
    </row>
    <row r="16" spans="1:14" x14ac:dyDescent="0.25">
      <c r="A16">
        <v>48592</v>
      </c>
      <c r="B16" s="117">
        <v>41229</v>
      </c>
      <c r="C16">
        <v>12266</v>
      </c>
      <c r="D16" s="7">
        <v>8</v>
      </c>
    </row>
    <row r="17" spans="1:4" x14ac:dyDescent="0.25">
      <c r="A17">
        <v>48593</v>
      </c>
      <c r="B17" s="117">
        <v>41229</v>
      </c>
      <c r="C17">
        <v>12394</v>
      </c>
      <c r="D17" s="7">
        <v>10</v>
      </c>
    </row>
    <row r="18" spans="1:4" x14ac:dyDescent="0.25">
      <c r="A18">
        <v>48599</v>
      </c>
      <c r="B18" s="117">
        <v>41230</v>
      </c>
      <c r="C18">
        <v>15002</v>
      </c>
      <c r="D18" s="7">
        <v>7</v>
      </c>
    </row>
    <row r="19" spans="1:4" x14ac:dyDescent="0.25">
      <c r="A19">
        <v>48600</v>
      </c>
      <c r="B19" s="117">
        <v>41230</v>
      </c>
      <c r="C19">
        <v>18185</v>
      </c>
      <c r="D19" s="7">
        <v>8</v>
      </c>
    </row>
    <row r="20" spans="1:4" x14ac:dyDescent="0.25">
      <c r="A20">
        <v>48601</v>
      </c>
      <c r="B20" s="117">
        <v>41230</v>
      </c>
      <c r="C20">
        <v>28728</v>
      </c>
      <c r="D20" s="7">
        <v>7</v>
      </c>
    </row>
    <row r="21" spans="1:4" x14ac:dyDescent="0.25">
      <c r="A21">
        <v>48602</v>
      </c>
      <c r="B21" s="117">
        <v>41230</v>
      </c>
      <c r="C21">
        <v>12237</v>
      </c>
      <c r="D21" s="7">
        <v>8</v>
      </c>
    </row>
    <row r="22" spans="1:4" x14ac:dyDescent="0.25">
      <c r="A22">
        <v>48603</v>
      </c>
      <c r="B22" s="117">
        <v>41230</v>
      </c>
      <c r="C22">
        <v>28751</v>
      </c>
      <c r="D22" s="7">
        <v>7</v>
      </c>
    </row>
    <row r="23" spans="1:4" x14ac:dyDescent="0.25">
      <c r="A23">
        <v>48613</v>
      </c>
      <c r="B23" s="117">
        <v>41231</v>
      </c>
      <c r="C23">
        <v>14965</v>
      </c>
      <c r="D23" s="7">
        <v>7</v>
      </c>
    </row>
    <row r="24" spans="1:4" x14ac:dyDescent="0.25">
      <c r="A24">
        <v>48614</v>
      </c>
      <c r="B24" s="117">
        <v>41231</v>
      </c>
      <c r="C24">
        <v>14976</v>
      </c>
      <c r="D24" s="7">
        <v>7</v>
      </c>
    </row>
    <row r="25" spans="1:4" x14ac:dyDescent="0.25">
      <c r="A25">
        <v>48615</v>
      </c>
      <c r="B25" s="117">
        <v>41231</v>
      </c>
      <c r="C25">
        <v>19360</v>
      </c>
      <c r="D25" s="7">
        <v>10</v>
      </c>
    </row>
    <row r="26" spans="1:4" x14ac:dyDescent="0.25">
      <c r="A26">
        <v>48618</v>
      </c>
      <c r="B26" s="117">
        <v>41231</v>
      </c>
      <c r="C26">
        <v>27259</v>
      </c>
      <c r="D26" s="7">
        <v>6</v>
      </c>
    </row>
    <row r="27" spans="1:4" x14ac:dyDescent="0.25">
      <c r="A27">
        <v>48620</v>
      </c>
      <c r="B27" s="117">
        <v>41231</v>
      </c>
      <c r="C27">
        <v>20665</v>
      </c>
      <c r="D27" s="7">
        <v>6</v>
      </c>
    </row>
    <row r="28" spans="1:4" x14ac:dyDescent="0.25">
      <c r="A28">
        <v>48627</v>
      </c>
      <c r="B28" s="117">
        <v>41232</v>
      </c>
      <c r="C28">
        <v>28758</v>
      </c>
      <c r="D28" s="7">
        <v>7</v>
      </c>
    </row>
    <row r="29" spans="1:4" x14ac:dyDescent="0.25">
      <c r="A29">
        <v>48628</v>
      </c>
      <c r="B29" s="117">
        <v>41232</v>
      </c>
      <c r="C29">
        <v>12381</v>
      </c>
      <c r="D29" s="7">
        <v>10</v>
      </c>
    </row>
    <row r="30" spans="1:4" x14ac:dyDescent="0.25">
      <c r="A30">
        <v>48631</v>
      </c>
      <c r="B30" s="117">
        <v>41233</v>
      </c>
      <c r="C30">
        <v>17185</v>
      </c>
      <c r="D30" s="7">
        <v>10</v>
      </c>
    </row>
    <row r="31" spans="1:4" x14ac:dyDescent="0.25">
      <c r="A31">
        <v>48632</v>
      </c>
      <c r="B31" s="117">
        <v>41233</v>
      </c>
      <c r="C31">
        <v>17192</v>
      </c>
      <c r="D31" s="7">
        <v>10</v>
      </c>
    </row>
    <row r="32" spans="1:4" x14ac:dyDescent="0.25">
      <c r="A32">
        <v>48633</v>
      </c>
      <c r="B32" s="117">
        <v>41233</v>
      </c>
      <c r="C32">
        <v>20875</v>
      </c>
      <c r="D32" s="7">
        <v>10</v>
      </c>
    </row>
    <row r="33" spans="1:4" x14ac:dyDescent="0.25">
      <c r="A33">
        <v>48634</v>
      </c>
      <c r="B33" s="117">
        <v>41233</v>
      </c>
      <c r="C33">
        <v>12230</v>
      </c>
      <c r="D33" s="7">
        <v>8</v>
      </c>
    </row>
    <row r="34" spans="1:4" x14ac:dyDescent="0.25">
      <c r="A34">
        <v>48635</v>
      </c>
      <c r="B34" s="117">
        <v>41233</v>
      </c>
      <c r="C34">
        <v>28750</v>
      </c>
      <c r="D34" s="7">
        <v>7</v>
      </c>
    </row>
    <row r="35" spans="1:4" x14ac:dyDescent="0.25">
      <c r="A35">
        <v>48639</v>
      </c>
      <c r="B35" s="117">
        <v>41233</v>
      </c>
      <c r="C35">
        <v>20670</v>
      </c>
      <c r="D35" s="7">
        <v>6</v>
      </c>
    </row>
    <row r="36" spans="1:4" x14ac:dyDescent="0.25">
      <c r="A36">
        <v>48642</v>
      </c>
      <c r="B36" s="117">
        <v>41234</v>
      </c>
      <c r="C36">
        <v>15061</v>
      </c>
      <c r="D36" s="7">
        <v>7</v>
      </c>
    </row>
    <row r="37" spans="1:4" x14ac:dyDescent="0.25">
      <c r="A37">
        <v>48643</v>
      </c>
      <c r="B37" s="117">
        <v>41234</v>
      </c>
      <c r="C37">
        <v>20869</v>
      </c>
      <c r="D37" s="7">
        <v>10</v>
      </c>
    </row>
    <row r="38" spans="1:4" x14ac:dyDescent="0.25">
      <c r="A38">
        <v>48653</v>
      </c>
      <c r="B38" s="117">
        <v>41234</v>
      </c>
      <c r="C38">
        <v>20680</v>
      </c>
      <c r="D38" s="7">
        <v>6</v>
      </c>
    </row>
    <row r="39" spans="1:4" x14ac:dyDescent="0.25">
      <c r="A39">
        <v>48654</v>
      </c>
      <c r="B39" s="117">
        <v>41235</v>
      </c>
      <c r="C39">
        <v>17094</v>
      </c>
      <c r="D39" s="7">
        <v>10</v>
      </c>
    </row>
    <row r="40" spans="1:4" x14ac:dyDescent="0.25">
      <c r="A40">
        <v>48655</v>
      </c>
      <c r="B40" s="117">
        <v>41235</v>
      </c>
      <c r="C40">
        <v>18183</v>
      </c>
      <c r="D40" s="7">
        <v>8</v>
      </c>
    </row>
    <row r="41" spans="1:4" x14ac:dyDescent="0.25">
      <c r="A41">
        <v>48656</v>
      </c>
      <c r="B41" s="117">
        <v>41235</v>
      </c>
      <c r="C41">
        <v>20829</v>
      </c>
      <c r="D41" s="7">
        <v>8</v>
      </c>
    </row>
    <row r="42" spans="1:4" x14ac:dyDescent="0.25">
      <c r="A42">
        <v>48657</v>
      </c>
      <c r="B42" s="117">
        <v>41235</v>
      </c>
      <c r="C42">
        <v>15067</v>
      </c>
      <c r="D42" s="7">
        <v>7</v>
      </c>
    </row>
    <row r="43" spans="1:4" x14ac:dyDescent="0.25">
      <c r="A43">
        <v>48658</v>
      </c>
      <c r="B43" s="117">
        <v>41235</v>
      </c>
      <c r="C43">
        <v>12228</v>
      </c>
      <c r="D43" s="7">
        <v>8</v>
      </c>
    </row>
    <row r="44" spans="1:4" x14ac:dyDescent="0.25">
      <c r="A44">
        <v>48659</v>
      </c>
      <c r="B44" s="117">
        <v>41235</v>
      </c>
      <c r="C44">
        <v>28749</v>
      </c>
      <c r="D44" s="7">
        <v>7</v>
      </c>
    </row>
    <row r="45" spans="1:4" x14ac:dyDescent="0.25">
      <c r="A45">
        <v>48665</v>
      </c>
      <c r="B45" s="117">
        <v>41235</v>
      </c>
      <c r="C45">
        <v>20872</v>
      </c>
      <c r="D45" s="7">
        <v>10</v>
      </c>
    </row>
    <row r="46" spans="1:4" x14ac:dyDescent="0.25">
      <c r="A46">
        <v>48667</v>
      </c>
      <c r="B46" s="117">
        <v>41236</v>
      </c>
      <c r="C46">
        <v>19341</v>
      </c>
      <c r="D46" s="7">
        <v>10</v>
      </c>
    </row>
    <row r="47" spans="1:4" x14ac:dyDescent="0.25">
      <c r="A47">
        <v>48668</v>
      </c>
      <c r="B47" s="117">
        <v>41236</v>
      </c>
      <c r="C47">
        <v>18626</v>
      </c>
      <c r="D47" s="7">
        <v>8</v>
      </c>
    </row>
    <row r="48" spans="1:4" x14ac:dyDescent="0.25">
      <c r="A48">
        <v>48669</v>
      </c>
      <c r="B48" s="117">
        <v>41236</v>
      </c>
      <c r="C48">
        <v>19293</v>
      </c>
      <c r="D48" s="7">
        <v>7</v>
      </c>
    </row>
    <row r="49" spans="1:4" x14ac:dyDescent="0.25">
      <c r="A49">
        <v>48671</v>
      </c>
      <c r="B49" s="117">
        <v>41236</v>
      </c>
      <c r="C49">
        <v>12270</v>
      </c>
      <c r="D49" s="7">
        <v>8</v>
      </c>
    </row>
    <row r="50" spans="1:4" x14ac:dyDescent="0.25">
      <c r="A50">
        <v>48675</v>
      </c>
      <c r="B50" s="117">
        <v>41237</v>
      </c>
      <c r="C50">
        <v>15079</v>
      </c>
      <c r="D50" s="7">
        <v>7</v>
      </c>
    </row>
    <row r="51" spans="1:4" x14ac:dyDescent="0.25">
      <c r="A51">
        <v>48677</v>
      </c>
      <c r="B51" s="117">
        <v>41237</v>
      </c>
      <c r="C51">
        <v>12391</v>
      </c>
      <c r="D51" s="7">
        <v>10</v>
      </c>
    </row>
    <row r="52" spans="1:4" x14ac:dyDescent="0.25">
      <c r="A52">
        <v>48680</v>
      </c>
      <c r="B52" s="117">
        <v>41237</v>
      </c>
      <c r="C52">
        <v>27242</v>
      </c>
      <c r="D52" s="7">
        <v>6</v>
      </c>
    </row>
    <row r="53" spans="1:4" x14ac:dyDescent="0.25">
      <c r="A53">
        <v>48683</v>
      </c>
      <c r="B53" s="117">
        <v>41238</v>
      </c>
      <c r="C53">
        <v>17648</v>
      </c>
      <c r="D53" s="7">
        <v>7</v>
      </c>
    </row>
    <row r="54" spans="1:4" x14ac:dyDescent="0.25">
      <c r="A54">
        <v>48684</v>
      </c>
      <c r="B54" s="117">
        <v>41238</v>
      </c>
      <c r="C54">
        <v>16534</v>
      </c>
      <c r="D54" s="7">
        <v>8</v>
      </c>
    </row>
    <row r="55" spans="1:4" x14ac:dyDescent="0.25">
      <c r="A55">
        <v>48686</v>
      </c>
      <c r="B55" s="117">
        <v>41238</v>
      </c>
      <c r="C55">
        <v>25999</v>
      </c>
      <c r="D55" s="7">
        <v>6</v>
      </c>
    </row>
    <row r="56" spans="1:4" x14ac:dyDescent="0.25">
      <c r="A56">
        <v>48687</v>
      </c>
      <c r="B56" s="117">
        <v>41238</v>
      </c>
      <c r="C56">
        <v>12317</v>
      </c>
      <c r="D56" s="7">
        <v>10</v>
      </c>
    </row>
    <row r="57" spans="1:4" x14ac:dyDescent="0.25">
      <c r="A57">
        <v>48692</v>
      </c>
      <c r="B57" s="117">
        <v>41239</v>
      </c>
      <c r="C57">
        <v>18171</v>
      </c>
      <c r="D57" s="7">
        <v>8</v>
      </c>
    </row>
    <row r="58" spans="1:4" x14ac:dyDescent="0.25">
      <c r="A58">
        <v>48693</v>
      </c>
      <c r="B58" s="117">
        <v>41239</v>
      </c>
      <c r="C58">
        <v>25995</v>
      </c>
      <c r="D58" s="7">
        <v>6</v>
      </c>
    </row>
    <row r="59" spans="1:4" x14ac:dyDescent="0.25">
      <c r="A59">
        <v>48694</v>
      </c>
      <c r="B59" s="117">
        <v>41239</v>
      </c>
      <c r="C59">
        <v>12315</v>
      </c>
      <c r="D59" s="7">
        <v>10</v>
      </c>
    </row>
    <row r="60" spans="1:4" x14ac:dyDescent="0.25">
      <c r="D60" s="93"/>
    </row>
    <row r="61" spans="1:4" x14ac:dyDescent="0.25">
      <c r="D61" s="93"/>
    </row>
    <row r="62" spans="1:4" x14ac:dyDescent="0.25">
      <c r="D62" s="93"/>
    </row>
    <row r="63" spans="1:4" x14ac:dyDescent="0.25">
      <c r="D63" s="93"/>
    </row>
    <row r="64" spans="1:4" x14ac:dyDescent="0.25">
      <c r="D64" s="93"/>
    </row>
    <row r="65" spans="4:4" x14ac:dyDescent="0.25">
      <c r="D65" s="93"/>
    </row>
    <row r="66" spans="4:4" x14ac:dyDescent="0.25">
      <c r="D66" s="93"/>
    </row>
    <row r="67" spans="4:4" x14ac:dyDescent="0.25">
      <c r="D67" s="93"/>
    </row>
    <row r="68" spans="4:4" x14ac:dyDescent="0.25">
      <c r="D68" s="93"/>
    </row>
    <row r="69" spans="4:4" x14ac:dyDescent="0.25">
      <c r="D69" s="93"/>
    </row>
    <row r="70" spans="4:4" x14ac:dyDescent="0.25">
      <c r="D70" s="93"/>
    </row>
    <row r="71" spans="4:4" x14ac:dyDescent="0.25">
      <c r="D71" s="93"/>
    </row>
    <row r="72" spans="4:4" x14ac:dyDescent="0.25">
      <c r="D72" s="93"/>
    </row>
    <row r="73" spans="4:4" x14ac:dyDescent="0.25">
      <c r="D73" s="93"/>
    </row>
    <row r="74" spans="4:4" x14ac:dyDescent="0.25">
      <c r="D74" s="93"/>
    </row>
    <row r="75" spans="4:4" x14ac:dyDescent="0.25">
      <c r="D75" s="93"/>
    </row>
    <row r="76" spans="4:4" x14ac:dyDescent="0.25">
      <c r="D76" s="93"/>
    </row>
    <row r="77" spans="4:4" x14ac:dyDescent="0.25">
      <c r="D77" s="93"/>
    </row>
    <row r="78" spans="4:4" x14ac:dyDescent="0.25">
      <c r="D78" s="93"/>
    </row>
    <row r="79" spans="4:4" x14ac:dyDescent="0.25">
      <c r="D79" s="93"/>
    </row>
    <row r="80" spans="4:4" x14ac:dyDescent="0.25">
      <c r="D80" s="93"/>
    </row>
    <row r="81" spans="4:4" x14ac:dyDescent="0.25">
      <c r="D81" s="93"/>
    </row>
    <row r="82" spans="4:4" x14ac:dyDescent="0.25">
      <c r="D82" s="93"/>
    </row>
    <row r="83" spans="4:4" x14ac:dyDescent="0.25">
      <c r="D83" s="93"/>
    </row>
    <row r="84" spans="4:4" x14ac:dyDescent="0.25">
      <c r="D84" s="93"/>
    </row>
    <row r="85" spans="4:4" x14ac:dyDescent="0.25">
      <c r="D85" s="93"/>
    </row>
    <row r="86" spans="4:4" x14ac:dyDescent="0.25">
      <c r="D86" s="93"/>
    </row>
    <row r="87" spans="4:4" x14ac:dyDescent="0.25">
      <c r="D87" s="93"/>
    </row>
    <row r="88" spans="4:4" x14ac:dyDescent="0.25">
      <c r="D88" s="93"/>
    </row>
    <row r="89" spans="4:4" x14ac:dyDescent="0.25">
      <c r="D89" s="93"/>
    </row>
    <row r="90" spans="4:4" x14ac:dyDescent="0.25">
      <c r="D90" s="93"/>
    </row>
    <row r="91" spans="4:4" x14ac:dyDescent="0.25">
      <c r="D91" s="93"/>
    </row>
    <row r="92" spans="4:4" x14ac:dyDescent="0.25">
      <c r="D92" s="93"/>
    </row>
    <row r="93" spans="4:4" x14ac:dyDescent="0.25">
      <c r="D93" s="93"/>
    </row>
    <row r="94" spans="4:4" x14ac:dyDescent="0.25">
      <c r="D94" s="93"/>
    </row>
    <row r="95" spans="4:4" x14ac:dyDescent="0.25">
      <c r="D95" s="93"/>
    </row>
    <row r="96" spans="4:4" x14ac:dyDescent="0.25">
      <c r="D96" s="93"/>
    </row>
    <row r="97" spans="4:4" x14ac:dyDescent="0.25">
      <c r="D97" s="93"/>
    </row>
    <row r="98" spans="4:4" x14ac:dyDescent="0.25">
      <c r="D98" s="93"/>
    </row>
    <row r="99" spans="4:4" x14ac:dyDescent="0.25">
      <c r="D99" s="93"/>
    </row>
    <row r="100" spans="4:4" x14ac:dyDescent="0.25">
      <c r="D100" s="93"/>
    </row>
    <row r="101" spans="4:4" x14ac:dyDescent="0.25">
      <c r="D101" s="93"/>
    </row>
    <row r="102" spans="4:4" x14ac:dyDescent="0.25">
      <c r="D102" s="93"/>
    </row>
    <row r="103" spans="4:4" x14ac:dyDescent="0.25">
      <c r="D103" s="93"/>
    </row>
    <row r="104" spans="4:4" x14ac:dyDescent="0.25">
      <c r="D104" s="93"/>
    </row>
    <row r="105" spans="4:4" x14ac:dyDescent="0.25">
      <c r="D105" s="93"/>
    </row>
    <row r="106" spans="4:4" x14ac:dyDescent="0.25">
      <c r="D106" s="93"/>
    </row>
    <row r="107" spans="4:4" x14ac:dyDescent="0.25">
      <c r="D107" s="93"/>
    </row>
    <row r="108" spans="4:4" x14ac:dyDescent="0.25">
      <c r="D108" s="93"/>
    </row>
    <row r="109" spans="4:4" x14ac:dyDescent="0.25">
      <c r="D109" s="93"/>
    </row>
    <row r="110" spans="4:4" x14ac:dyDescent="0.25">
      <c r="D110" s="93"/>
    </row>
    <row r="111" spans="4:4" x14ac:dyDescent="0.25">
      <c r="D111" s="93"/>
    </row>
    <row r="112" spans="4:4" x14ac:dyDescent="0.25">
      <c r="D112" s="93"/>
    </row>
    <row r="113" spans="4:4" x14ac:dyDescent="0.25">
      <c r="D113" s="93"/>
    </row>
    <row r="114" spans="4:4" x14ac:dyDescent="0.25">
      <c r="D114" s="93"/>
    </row>
    <row r="115" spans="4:4" x14ac:dyDescent="0.25">
      <c r="D115" s="93"/>
    </row>
    <row r="116" spans="4:4" x14ac:dyDescent="0.25">
      <c r="D116" s="93"/>
    </row>
    <row r="117" spans="4:4" x14ac:dyDescent="0.25">
      <c r="D117" s="93"/>
    </row>
    <row r="118" spans="4:4" x14ac:dyDescent="0.25">
      <c r="D118" s="93"/>
    </row>
    <row r="119" spans="4:4" x14ac:dyDescent="0.25">
      <c r="D119" s="93"/>
    </row>
    <row r="120" spans="4:4" x14ac:dyDescent="0.25">
      <c r="D120" s="93"/>
    </row>
    <row r="121" spans="4:4" x14ac:dyDescent="0.25">
      <c r="D121" s="93"/>
    </row>
    <row r="122" spans="4:4" x14ac:dyDescent="0.25">
      <c r="D122" s="93"/>
    </row>
    <row r="123" spans="4:4" x14ac:dyDescent="0.25">
      <c r="D123" s="93"/>
    </row>
    <row r="124" spans="4:4" x14ac:dyDescent="0.25">
      <c r="D124" s="93"/>
    </row>
    <row r="125" spans="4:4" x14ac:dyDescent="0.25">
      <c r="D125" s="93"/>
    </row>
    <row r="126" spans="4:4" x14ac:dyDescent="0.25">
      <c r="D126" s="93"/>
    </row>
    <row r="127" spans="4:4" x14ac:dyDescent="0.25">
      <c r="D127" s="93"/>
    </row>
    <row r="128" spans="4:4" x14ac:dyDescent="0.25">
      <c r="D128" s="93"/>
    </row>
    <row r="129" spans="4:4" x14ac:dyDescent="0.25">
      <c r="D129" s="93"/>
    </row>
    <row r="130" spans="4:4" x14ac:dyDescent="0.25">
      <c r="D130" s="93"/>
    </row>
    <row r="131" spans="4:4" x14ac:dyDescent="0.25">
      <c r="D131" s="93"/>
    </row>
    <row r="132" spans="4:4" x14ac:dyDescent="0.25">
      <c r="D132" s="93"/>
    </row>
    <row r="133" spans="4:4" x14ac:dyDescent="0.25">
      <c r="D133" s="93"/>
    </row>
    <row r="134" spans="4:4" x14ac:dyDescent="0.25">
      <c r="D134" s="93"/>
    </row>
    <row r="135" spans="4:4" x14ac:dyDescent="0.25">
      <c r="D135" s="93"/>
    </row>
    <row r="136" spans="4:4" x14ac:dyDescent="0.25">
      <c r="D136" s="93"/>
    </row>
    <row r="137" spans="4:4" x14ac:dyDescent="0.25">
      <c r="D137" s="93"/>
    </row>
    <row r="138" spans="4:4" x14ac:dyDescent="0.25">
      <c r="D138" s="93"/>
    </row>
    <row r="139" spans="4:4" x14ac:dyDescent="0.25">
      <c r="D139" s="93"/>
    </row>
    <row r="140" spans="4:4" x14ac:dyDescent="0.25">
      <c r="D140" s="93"/>
    </row>
    <row r="141" spans="4:4" x14ac:dyDescent="0.25">
      <c r="D141" s="93"/>
    </row>
    <row r="142" spans="4:4" x14ac:dyDescent="0.25">
      <c r="D142" s="93"/>
    </row>
    <row r="143" spans="4:4" x14ac:dyDescent="0.25">
      <c r="D143" s="93"/>
    </row>
    <row r="144" spans="4:4" x14ac:dyDescent="0.25">
      <c r="D144" s="93"/>
    </row>
    <row r="145" spans="4:4" x14ac:dyDescent="0.25">
      <c r="D145" s="93"/>
    </row>
    <row r="146" spans="4:4" x14ac:dyDescent="0.25">
      <c r="D146" s="93"/>
    </row>
    <row r="147" spans="4:4" x14ac:dyDescent="0.25">
      <c r="D147" s="93"/>
    </row>
    <row r="148" spans="4:4" x14ac:dyDescent="0.25">
      <c r="D148" s="93"/>
    </row>
    <row r="149" spans="4:4" x14ac:dyDescent="0.25">
      <c r="D149" s="93"/>
    </row>
    <row r="150" spans="4:4" x14ac:dyDescent="0.25">
      <c r="D150" s="93"/>
    </row>
    <row r="151" spans="4:4" x14ac:dyDescent="0.25">
      <c r="D151" s="93"/>
    </row>
    <row r="152" spans="4:4" x14ac:dyDescent="0.25">
      <c r="D152" s="93"/>
    </row>
    <row r="153" spans="4:4" x14ac:dyDescent="0.25">
      <c r="D153" s="93"/>
    </row>
    <row r="154" spans="4:4" x14ac:dyDescent="0.25">
      <c r="D154" s="93"/>
    </row>
    <row r="155" spans="4:4" x14ac:dyDescent="0.25">
      <c r="D155" s="93"/>
    </row>
    <row r="156" spans="4:4" x14ac:dyDescent="0.25">
      <c r="D156" s="93"/>
    </row>
    <row r="157" spans="4:4" x14ac:dyDescent="0.25">
      <c r="D157" s="93"/>
    </row>
    <row r="158" spans="4:4" x14ac:dyDescent="0.25">
      <c r="D158" s="93"/>
    </row>
    <row r="159" spans="4:4" x14ac:dyDescent="0.25">
      <c r="D159" s="93"/>
    </row>
    <row r="160" spans="4:4" x14ac:dyDescent="0.25">
      <c r="D160" s="93"/>
    </row>
    <row r="161" spans="4:4" x14ac:dyDescent="0.25">
      <c r="D161" s="93"/>
    </row>
    <row r="162" spans="4:4" x14ac:dyDescent="0.25">
      <c r="D162" s="93"/>
    </row>
    <row r="163" spans="4:4" x14ac:dyDescent="0.25">
      <c r="D163" s="93"/>
    </row>
    <row r="164" spans="4:4" x14ac:dyDescent="0.25">
      <c r="D164" s="93"/>
    </row>
    <row r="165" spans="4:4" x14ac:dyDescent="0.25">
      <c r="D165" s="93"/>
    </row>
    <row r="166" spans="4:4" x14ac:dyDescent="0.25">
      <c r="D166" s="93"/>
    </row>
    <row r="167" spans="4:4" x14ac:dyDescent="0.25">
      <c r="D167" s="93"/>
    </row>
    <row r="168" spans="4:4" x14ac:dyDescent="0.25">
      <c r="D168" s="93"/>
    </row>
    <row r="169" spans="4:4" x14ac:dyDescent="0.25">
      <c r="D169" s="93"/>
    </row>
    <row r="170" spans="4:4" x14ac:dyDescent="0.25">
      <c r="D170" s="93"/>
    </row>
    <row r="171" spans="4:4" x14ac:dyDescent="0.25">
      <c r="D171" s="93"/>
    </row>
    <row r="172" spans="4:4" x14ac:dyDescent="0.25">
      <c r="D172" s="93"/>
    </row>
    <row r="173" spans="4:4" x14ac:dyDescent="0.25">
      <c r="D173" s="93"/>
    </row>
    <row r="174" spans="4:4" x14ac:dyDescent="0.25">
      <c r="D174" s="93"/>
    </row>
    <row r="175" spans="4:4" x14ac:dyDescent="0.25">
      <c r="D175" s="93"/>
    </row>
    <row r="176" spans="4:4" x14ac:dyDescent="0.25">
      <c r="D176" s="93"/>
    </row>
    <row r="177" spans="4:4" x14ac:dyDescent="0.25">
      <c r="D177" s="93"/>
    </row>
    <row r="178" spans="4:4" x14ac:dyDescent="0.25">
      <c r="D178" s="93"/>
    </row>
    <row r="179" spans="4:4" x14ac:dyDescent="0.25">
      <c r="D179" s="93"/>
    </row>
    <row r="180" spans="4:4" x14ac:dyDescent="0.25">
      <c r="D180" s="93"/>
    </row>
    <row r="181" spans="4:4" x14ac:dyDescent="0.25">
      <c r="D181" s="93"/>
    </row>
    <row r="182" spans="4:4" x14ac:dyDescent="0.25">
      <c r="D182" s="93"/>
    </row>
    <row r="183" spans="4:4" x14ac:dyDescent="0.25">
      <c r="D183" s="93"/>
    </row>
    <row r="184" spans="4:4" x14ac:dyDescent="0.25">
      <c r="D184" s="93"/>
    </row>
    <row r="185" spans="4:4" x14ac:dyDescent="0.25">
      <c r="D185" s="93"/>
    </row>
    <row r="186" spans="4:4" x14ac:dyDescent="0.25">
      <c r="D186" s="93"/>
    </row>
    <row r="187" spans="4:4" x14ac:dyDescent="0.25">
      <c r="D187" s="93"/>
    </row>
    <row r="188" spans="4:4" x14ac:dyDescent="0.25">
      <c r="D188" s="93"/>
    </row>
    <row r="189" spans="4:4" x14ac:dyDescent="0.25">
      <c r="D189" s="93"/>
    </row>
    <row r="190" spans="4:4" x14ac:dyDescent="0.25">
      <c r="D190" s="93"/>
    </row>
    <row r="191" spans="4:4" x14ac:dyDescent="0.25">
      <c r="D191" s="93"/>
    </row>
    <row r="192" spans="4:4" x14ac:dyDescent="0.25">
      <c r="D192" s="93"/>
    </row>
    <row r="193" spans="4:4" x14ac:dyDescent="0.25">
      <c r="D193" s="93"/>
    </row>
    <row r="194" spans="4:4" x14ac:dyDescent="0.25">
      <c r="D194" s="93"/>
    </row>
    <row r="195" spans="4:4" x14ac:dyDescent="0.25">
      <c r="D195" s="93"/>
    </row>
    <row r="196" spans="4:4" x14ac:dyDescent="0.25">
      <c r="D196" s="93"/>
    </row>
    <row r="197" spans="4:4" x14ac:dyDescent="0.25">
      <c r="D197" s="93"/>
    </row>
    <row r="198" spans="4:4" x14ac:dyDescent="0.25">
      <c r="D198" s="93"/>
    </row>
    <row r="199" spans="4:4" x14ac:dyDescent="0.25">
      <c r="D199" s="93"/>
    </row>
    <row r="200" spans="4:4" x14ac:dyDescent="0.25">
      <c r="D200" s="93"/>
    </row>
    <row r="201" spans="4:4" x14ac:dyDescent="0.25">
      <c r="D201" s="93"/>
    </row>
    <row r="202" spans="4:4" x14ac:dyDescent="0.25">
      <c r="D202" s="93"/>
    </row>
    <row r="203" spans="4:4" x14ac:dyDescent="0.25">
      <c r="D203" s="93"/>
    </row>
    <row r="204" spans="4:4" x14ac:dyDescent="0.25">
      <c r="D204" s="93"/>
    </row>
    <row r="205" spans="4:4" x14ac:dyDescent="0.25">
      <c r="D205" s="93"/>
    </row>
    <row r="206" spans="4:4" x14ac:dyDescent="0.25">
      <c r="D206" s="93"/>
    </row>
    <row r="207" spans="4:4" x14ac:dyDescent="0.25">
      <c r="D207" s="93"/>
    </row>
    <row r="208" spans="4:4" x14ac:dyDescent="0.25">
      <c r="D208" s="93"/>
    </row>
    <row r="209" spans="4:4" x14ac:dyDescent="0.25">
      <c r="D209" s="93"/>
    </row>
    <row r="210" spans="4:4" x14ac:dyDescent="0.25">
      <c r="D210" s="93"/>
    </row>
    <row r="211" spans="4:4" x14ac:dyDescent="0.25">
      <c r="D211" s="93"/>
    </row>
    <row r="212" spans="4:4" x14ac:dyDescent="0.25">
      <c r="D212" s="93"/>
    </row>
    <row r="213" spans="4:4" x14ac:dyDescent="0.25">
      <c r="D213" s="93"/>
    </row>
    <row r="214" spans="4:4" x14ac:dyDescent="0.25">
      <c r="D214" s="93"/>
    </row>
    <row r="215" spans="4:4" x14ac:dyDescent="0.25">
      <c r="D215" s="93"/>
    </row>
    <row r="216" spans="4:4" x14ac:dyDescent="0.25">
      <c r="D216" s="93"/>
    </row>
    <row r="217" spans="4:4" x14ac:dyDescent="0.25">
      <c r="D217" s="93"/>
    </row>
    <row r="218" spans="4:4" x14ac:dyDescent="0.25">
      <c r="D218" s="93"/>
    </row>
    <row r="219" spans="4:4" x14ac:dyDescent="0.25">
      <c r="D219" s="93"/>
    </row>
    <row r="220" spans="4:4" x14ac:dyDescent="0.25">
      <c r="D220" s="93"/>
    </row>
    <row r="221" spans="4:4" x14ac:dyDescent="0.25">
      <c r="D221" s="93"/>
    </row>
    <row r="222" spans="4:4" x14ac:dyDescent="0.25">
      <c r="D222" s="93"/>
    </row>
    <row r="223" spans="4:4" x14ac:dyDescent="0.25">
      <c r="D223" s="93"/>
    </row>
    <row r="224" spans="4:4" x14ac:dyDescent="0.25">
      <c r="D224" s="93"/>
    </row>
    <row r="225" spans="4:4" x14ac:dyDescent="0.25">
      <c r="D225" s="93"/>
    </row>
    <row r="226" spans="4:4" x14ac:dyDescent="0.25">
      <c r="D226" s="93"/>
    </row>
    <row r="227" spans="4:4" x14ac:dyDescent="0.25">
      <c r="D227" s="93"/>
    </row>
    <row r="228" spans="4:4" x14ac:dyDescent="0.25">
      <c r="D228" s="93"/>
    </row>
    <row r="229" spans="4:4" x14ac:dyDescent="0.25">
      <c r="D229" s="93"/>
    </row>
    <row r="230" spans="4:4" x14ac:dyDescent="0.25">
      <c r="D230" s="93"/>
    </row>
    <row r="231" spans="4:4" x14ac:dyDescent="0.25">
      <c r="D231" s="93"/>
    </row>
    <row r="232" spans="4:4" x14ac:dyDescent="0.25">
      <c r="D232" s="93"/>
    </row>
    <row r="233" spans="4:4" x14ac:dyDescent="0.25">
      <c r="D233" s="93"/>
    </row>
    <row r="234" spans="4:4" x14ac:dyDescent="0.25">
      <c r="D234" s="93"/>
    </row>
    <row r="235" spans="4:4" x14ac:dyDescent="0.25">
      <c r="D235" s="93"/>
    </row>
    <row r="236" spans="4:4" x14ac:dyDescent="0.25">
      <c r="D236" s="93"/>
    </row>
    <row r="237" spans="4:4" x14ac:dyDescent="0.25">
      <c r="D237" s="93"/>
    </row>
    <row r="238" spans="4:4" x14ac:dyDescent="0.25">
      <c r="D238" s="93"/>
    </row>
    <row r="239" spans="4:4" x14ac:dyDescent="0.25">
      <c r="D239" s="93"/>
    </row>
    <row r="240" spans="4:4" x14ac:dyDescent="0.25">
      <c r="D240" s="93"/>
    </row>
    <row r="241" spans="4:4" x14ac:dyDescent="0.25">
      <c r="D241" s="93"/>
    </row>
    <row r="242" spans="4:4" x14ac:dyDescent="0.25">
      <c r="D242" s="93"/>
    </row>
    <row r="243" spans="4:4" x14ac:dyDescent="0.25">
      <c r="D243" s="93"/>
    </row>
    <row r="244" spans="4:4" x14ac:dyDescent="0.25">
      <c r="D244" s="93"/>
    </row>
    <row r="245" spans="4:4" x14ac:dyDescent="0.25">
      <c r="D245" s="93"/>
    </row>
    <row r="246" spans="4:4" x14ac:dyDescent="0.25">
      <c r="D246" s="93"/>
    </row>
    <row r="247" spans="4:4" x14ac:dyDescent="0.25">
      <c r="D247" s="93"/>
    </row>
    <row r="248" spans="4:4" x14ac:dyDescent="0.25">
      <c r="D248" s="93"/>
    </row>
    <row r="249" spans="4:4" x14ac:dyDescent="0.25">
      <c r="D249" s="93"/>
    </row>
    <row r="250" spans="4:4" x14ac:dyDescent="0.25">
      <c r="D250" s="93"/>
    </row>
    <row r="251" spans="4:4" x14ac:dyDescent="0.25">
      <c r="D251" s="93"/>
    </row>
    <row r="252" spans="4:4" x14ac:dyDescent="0.25">
      <c r="D252" s="93"/>
    </row>
    <row r="253" spans="4:4" x14ac:dyDescent="0.25">
      <c r="D253" s="93"/>
    </row>
    <row r="254" spans="4:4" x14ac:dyDescent="0.25">
      <c r="D254" s="93"/>
    </row>
    <row r="255" spans="4:4" x14ac:dyDescent="0.25">
      <c r="D255" s="93"/>
    </row>
    <row r="256" spans="4:4" x14ac:dyDescent="0.25">
      <c r="D256" s="93"/>
    </row>
    <row r="257" spans="4:4" x14ac:dyDescent="0.25">
      <c r="D257" s="93"/>
    </row>
    <row r="258" spans="4:4" x14ac:dyDescent="0.25">
      <c r="D258" s="93"/>
    </row>
    <row r="259" spans="4:4" x14ac:dyDescent="0.25">
      <c r="D259" s="93"/>
    </row>
    <row r="260" spans="4:4" x14ac:dyDescent="0.25">
      <c r="D260" s="93"/>
    </row>
    <row r="261" spans="4:4" x14ac:dyDescent="0.25">
      <c r="D261" s="93"/>
    </row>
    <row r="262" spans="4:4" x14ac:dyDescent="0.25">
      <c r="D262" s="93"/>
    </row>
    <row r="263" spans="4:4" x14ac:dyDescent="0.25">
      <c r="D263" s="93"/>
    </row>
    <row r="264" spans="4:4" x14ac:dyDescent="0.25">
      <c r="D264" s="93"/>
    </row>
    <row r="265" spans="4:4" x14ac:dyDescent="0.25">
      <c r="D265" s="93"/>
    </row>
    <row r="266" spans="4:4" x14ac:dyDescent="0.25">
      <c r="D266" s="93"/>
    </row>
    <row r="267" spans="4:4" x14ac:dyDescent="0.25">
      <c r="D267" s="93"/>
    </row>
    <row r="268" spans="4:4" x14ac:dyDescent="0.25">
      <c r="D268" s="93"/>
    </row>
    <row r="269" spans="4:4" x14ac:dyDescent="0.25">
      <c r="D269" s="93"/>
    </row>
    <row r="270" spans="4:4" x14ac:dyDescent="0.25">
      <c r="D270" s="93"/>
    </row>
    <row r="271" spans="4:4" x14ac:dyDescent="0.25">
      <c r="D271" s="93"/>
    </row>
    <row r="272" spans="4:4" x14ac:dyDescent="0.25">
      <c r="D272" s="93"/>
    </row>
    <row r="273" spans="4:4" x14ac:dyDescent="0.25">
      <c r="D273" s="93"/>
    </row>
    <row r="274" spans="4:4" x14ac:dyDescent="0.25">
      <c r="D274" s="93"/>
    </row>
    <row r="275" spans="4:4" x14ac:dyDescent="0.25">
      <c r="D275" s="93"/>
    </row>
    <row r="276" spans="4:4" x14ac:dyDescent="0.25">
      <c r="D276" s="93"/>
    </row>
    <row r="277" spans="4:4" x14ac:dyDescent="0.25">
      <c r="D277" s="93"/>
    </row>
    <row r="278" spans="4:4" x14ac:dyDescent="0.25">
      <c r="D278" s="93"/>
    </row>
    <row r="279" spans="4:4" x14ac:dyDescent="0.25">
      <c r="D279" s="93"/>
    </row>
    <row r="280" spans="4:4" x14ac:dyDescent="0.25">
      <c r="D280" s="93"/>
    </row>
    <row r="281" spans="4:4" x14ac:dyDescent="0.25">
      <c r="D281" s="93"/>
    </row>
    <row r="282" spans="4:4" x14ac:dyDescent="0.25">
      <c r="D282" s="93"/>
    </row>
    <row r="283" spans="4:4" x14ac:dyDescent="0.25">
      <c r="D283" s="93"/>
    </row>
    <row r="284" spans="4:4" x14ac:dyDescent="0.25">
      <c r="D284" s="93"/>
    </row>
    <row r="285" spans="4:4" x14ac:dyDescent="0.25">
      <c r="D285" s="93"/>
    </row>
    <row r="286" spans="4:4" x14ac:dyDescent="0.25">
      <c r="D286" s="93"/>
    </row>
    <row r="287" spans="4:4" x14ac:dyDescent="0.25">
      <c r="D287" s="93"/>
    </row>
    <row r="288" spans="4:4" x14ac:dyDescent="0.25">
      <c r="D288" s="93"/>
    </row>
    <row r="289" spans="4:4" x14ac:dyDescent="0.25">
      <c r="D289" s="93"/>
    </row>
    <row r="290" spans="4:4" x14ac:dyDescent="0.25">
      <c r="D290" s="93"/>
    </row>
    <row r="291" spans="4:4" x14ac:dyDescent="0.25">
      <c r="D291" s="93"/>
    </row>
    <row r="292" spans="4:4" x14ac:dyDescent="0.25">
      <c r="D292" s="93"/>
    </row>
    <row r="293" spans="4:4" x14ac:dyDescent="0.25">
      <c r="D293" s="93"/>
    </row>
    <row r="294" spans="4:4" x14ac:dyDescent="0.25">
      <c r="D294" s="93"/>
    </row>
    <row r="295" spans="4:4" x14ac:dyDescent="0.25">
      <c r="D295" s="93"/>
    </row>
  </sheetData>
  <sheetProtection algorithmName="SHA-512" hashValue="uWU8rs2SNyW41j9Y0xHFiFSnTkgR4zGNG98PT6LZLbHTeXRHAJyJFUj9lw755Ik8+qd40mkOdVqQRc0ebbb0Bg==" saltValue="cB6QJRdmdH4BIVk8RXdhlA==" spinCount="100000" sheet="1" objects="1" scenarios="1"/>
  <mergeCells count="1">
    <mergeCell ref="A2:H2"/>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308C0-A81F-4087-A220-6918D4117DA0}">
  <sheetPr codeName="Sheet14"/>
  <dimension ref="A2:S294"/>
  <sheetViews>
    <sheetView workbookViewId="0">
      <selection activeCell="B5" sqref="B5:B58"/>
    </sheetView>
  </sheetViews>
  <sheetFormatPr defaultRowHeight="15" x14ac:dyDescent="0.25"/>
  <cols>
    <col min="2" max="2" width="18.7109375" customWidth="1"/>
    <col min="4" max="4" width="12.7109375" customWidth="1"/>
  </cols>
  <sheetData>
    <row r="2" spans="1:19" x14ac:dyDescent="0.25">
      <c r="A2" cm="1">
        <f t="array" ref="A2">gradeGenericQuestionRange("Text",A4:D58,10,Question4!A5:D59)</f>
        <v>10.000012397766113</v>
      </c>
      <c r="G2" s="90" t="s">
        <v>257</v>
      </c>
    </row>
    <row r="3" spans="1:19" x14ac:dyDescent="0.25">
      <c r="G3" s="90" t="s">
        <v>258</v>
      </c>
    </row>
    <row r="4" spans="1:19" x14ac:dyDescent="0.25">
      <c r="A4" t="s">
        <v>253</v>
      </c>
      <c r="B4" s="103" t="s">
        <v>254</v>
      </c>
      <c r="C4" t="s">
        <v>255</v>
      </c>
      <c r="D4" s="93" t="s">
        <v>256</v>
      </c>
      <c r="G4" s="90" t="s">
        <v>477</v>
      </c>
    </row>
    <row r="5" spans="1:19" x14ac:dyDescent="0.25">
      <c r="A5">
        <v>48567</v>
      </c>
      <c r="B5" s="117">
        <v>41227</v>
      </c>
      <c r="C5">
        <v>14948</v>
      </c>
      <c r="D5" s="92">
        <v>7</v>
      </c>
      <c r="G5" s="90" t="s">
        <v>259</v>
      </c>
    </row>
    <row r="6" spans="1:19" x14ac:dyDescent="0.25">
      <c r="A6">
        <v>48568</v>
      </c>
      <c r="B6" s="117">
        <v>41227</v>
      </c>
      <c r="C6">
        <v>19296</v>
      </c>
      <c r="D6" s="92">
        <v>7</v>
      </c>
      <c r="G6" s="90" t="s">
        <v>260</v>
      </c>
    </row>
    <row r="7" spans="1:19" x14ac:dyDescent="0.25">
      <c r="A7">
        <v>48569</v>
      </c>
      <c r="B7" s="117">
        <v>41227</v>
      </c>
      <c r="C7">
        <v>20726</v>
      </c>
      <c r="D7" s="92">
        <v>8</v>
      </c>
    </row>
    <row r="8" spans="1:19" x14ac:dyDescent="0.25">
      <c r="A8">
        <v>48570</v>
      </c>
      <c r="B8" s="117">
        <v>41227</v>
      </c>
      <c r="C8">
        <v>26504</v>
      </c>
      <c r="D8" s="92">
        <v>6</v>
      </c>
    </row>
    <row r="9" spans="1:19" x14ac:dyDescent="0.25">
      <c r="A9">
        <v>48572</v>
      </c>
      <c r="B9" s="117">
        <v>41227</v>
      </c>
      <c r="C9">
        <v>28756</v>
      </c>
      <c r="D9" s="92">
        <v>7</v>
      </c>
    </row>
    <row r="10" spans="1:19" x14ac:dyDescent="0.25">
      <c r="A10">
        <v>48578</v>
      </c>
      <c r="B10" s="117">
        <v>41228</v>
      </c>
      <c r="C10">
        <v>17207</v>
      </c>
      <c r="D10" s="92">
        <v>10</v>
      </c>
    </row>
    <row r="11" spans="1:19" x14ac:dyDescent="0.25">
      <c r="A11">
        <v>48580</v>
      </c>
      <c r="B11" s="117">
        <v>41228</v>
      </c>
      <c r="C11">
        <v>12231</v>
      </c>
      <c r="D11" s="92">
        <v>8</v>
      </c>
    </row>
    <row r="12" spans="1:19" x14ac:dyDescent="0.25">
      <c r="A12">
        <v>48589</v>
      </c>
      <c r="B12" s="117">
        <v>41229</v>
      </c>
      <c r="C12">
        <v>17646</v>
      </c>
      <c r="D12" s="92">
        <v>7</v>
      </c>
    </row>
    <row r="13" spans="1:19" x14ac:dyDescent="0.25">
      <c r="A13">
        <v>48590</v>
      </c>
      <c r="B13" s="117">
        <v>41229</v>
      </c>
      <c r="C13">
        <v>28757</v>
      </c>
      <c r="D13" s="92">
        <v>7</v>
      </c>
      <c r="H13" t="s">
        <v>475</v>
      </c>
      <c r="I13" t="s">
        <v>476</v>
      </c>
      <c r="P13" t="s">
        <v>253</v>
      </c>
      <c r="Q13" s="103" t="s">
        <v>254</v>
      </c>
      <c r="R13" t="s">
        <v>255</v>
      </c>
      <c r="S13" s="93" t="s">
        <v>256</v>
      </c>
    </row>
    <row r="14" spans="1:19" x14ac:dyDescent="0.25">
      <c r="A14">
        <v>48591</v>
      </c>
      <c r="B14" s="117">
        <v>41229</v>
      </c>
      <c r="C14">
        <v>28739</v>
      </c>
      <c r="D14" s="92">
        <v>7</v>
      </c>
      <c r="P14">
        <v>45149</v>
      </c>
      <c r="Q14" s="93">
        <v>40891</v>
      </c>
      <c r="R14">
        <v>14941</v>
      </c>
      <c r="S14" s="7">
        <v>10</v>
      </c>
    </row>
    <row r="15" spans="1:19" x14ac:dyDescent="0.25">
      <c r="A15">
        <v>48592</v>
      </c>
      <c r="B15" s="117">
        <v>41229</v>
      </c>
      <c r="C15">
        <v>12266</v>
      </c>
      <c r="D15" s="92">
        <v>8</v>
      </c>
      <c r="P15">
        <v>45158</v>
      </c>
      <c r="Q15" s="93">
        <v>40892</v>
      </c>
      <c r="R15">
        <v>28419</v>
      </c>
      <c r="S15" s="7">
        <v>7</v>
      </c>
    </row>
    <row r="16" spans="1:19" x14ac:dyDescent="0.25">
      <c r="A16">
        <v>48593</v>
      </c>
      <c r="B16" s="117">
        <v>41229</v>
      </c>
      <c r="C16">
        <v>12394</v>
      </c>
      <c r="D16" s="92">
        <v>10</v>
      </c>
      <c r="P16">
        <v>45159</v>
      </c>
      <c r="Q16" s="93">
        <v>40892</v>
      </c>
      <c r="R16">
        <v>11400</v>
      </c>
      <c r="S16" s="7">
        <v>10</v>
      </c>
    </row>
    <row r="17" spans="1:19" x14ac:dyDescent="0.25">
      <c r="A17">
        <v>48599</v>
      </c>
      <c r="B17" s="117">
        <v>41230</v>
      </c>
      <c r="C17">
        <v>15002</v>
      </c>
      <c r="D17" s="92">
        <v>7</v>
      </c>
      <c r="P17">
        <v>45160</v>
      </c>
      <c r="Q17" s="93">
        <v>40892</v>
      </c>
      <c r="R17">
        <v>14984</v>
      </c>
      <c r="S17" s="7">
        <v>10</v>
      </c>
    </row>
    <row r="18" spans="1:19" x14ac:dyDescent="0.25">
      <c r="A18">
        <v>48600</v>
      </c>
      <c r="B18" s="117">
        <v>41230</v>
      </c>
      <c r="C18">
        <v>18185</v>
      </c>
      <c r="D18" s="92">
        <v>8</v>
      </c>
      <c r="P18">
        <v>45165</v>
      </c>
      <c r="Q18" s="93">
        <v>40893</v>
      </c>
      <c r="R18">
        <v>22881</v>
      </c>
      <c r="S18" s="7">
        <v>6</v>
      </c>
    </row>
    <row r="19" spans="1:19" x14ac:dyDescent="0.25">
      <c r="A19">
        <v>48601</v>
      </c>
      <c r="B19" s="117">
        <v>41230</v>
      </c>
      <c r="C19">
        <v>28728</v>
      </c>
      <c r="D19" s="92">
        <v>7</v>
      </c>
      <c r="P19">
        <v>45172</v>
      </c>
      <c r="Q19" s="93">
        <v>40894</v>
      </c>
      <c r="R19">
        <v>18008</v>
      </c>
      <c r="S19" s="7">
        <v>7</v>
      </c>
    </row>
    <row r="20" spans="1:19" x14ac:dyDescent="0.25">
      <c r="A20">
        <v>48602</v>
      </c>
      <c r="B20" s="117">
        <v>41230</v>
      </c>
      <c r="C20">
        <v>12237</v>
      </c>
      <c r="D20" s="92">
        <v>8</v>
      </c>
      <c r="P20">
        <v>45180</v>
      </c>
      <c r="Q20" s="93">
        <v>40895</v>
      </c>
      <c r="R20">
        <v>15046</v>
      </c>
      <c r="S20" s="7">
        <v>10</v>
      </c>
    </row>
    <row r="21" spans="1:19" x14ac:dyDescent="0.25">
      <c r="A21">
        <v>48603</v>
      </c>
      <c r="B21" s="117">
        <v>41230</v>
      </c>
      <c r="C21">
        <v>28751</v>
      </c>
      <c r="D21" s="92">
        <v>7</v>
      </c>
      <c r="P21">
        <v>45181</v>
      </c>
      <c r="Q21" s="93">
        <v>40895</v>
      </c>
      <c r="R21">
        <v>14929</v>
      </c>
      <c r="S21" s="7">
        <v>10</v>
      </c>
    </row>
    <row r="22" spans="1:19" x14ac:dyDescent="0.25">
      <c r="A22">
        <v>48613</v>
      </c>
      <c r="B22" s="117">
        <v>41231</v>
      </c>
      <c r="C22">
        <v>14965</v>
      </c>
      <c r="D22" s="92">
        <v>7</v>
      </c>
      <c r="P22">
        <v>45185</v>
      </c>
      <c r="Q22" s="93">
        <v>40895</v>
      </c>
      <c r="R22">
        <v>14949</v>
      </c>
      <c r="S22" s="7">
        <v>10</v>
      </c>
    </row>
    <row r="23" spans="1:19" x14ac:dyDescent="0.25">
      <c r="A23">
        <v>48614</v>
      </c>
      <c r="B23" s="117">
        <v>41231</v>
      </c>
      <c r="C23">
        <v>14976</v>
      </c>
      <c r="D23" s="92">
        <v>7</v>
      </c>
      <c r="P23">
        <v>45186</v>
      </c>
      <c r="Q23" s="93">
        <v>40896</v>
      </c>
      <c r="R23">
        <v>14991</v>
      </c>
      <c r="S23" s="7">
        <v>10</v>
      </c>
    </row>
    <row r="24" spans="1:19" x14ac:dyDescent="0.25">
      <c r="A24">
        <v>48615</v>
      </c>
      <c r="B24" s="117">
        <v>41231</v>
      </c>
      <c r="C24">
        <v>19360</v>
      </c>
      <c r="D24" s="92">
        <v>10</v>
      </c>
      <c r="P24">
        <v>45187</v>
      </c>
      <c r="Q24" s="93">
        <v>40896</v>
      </c>
      <c r="R24">
        <v>15047</v>
      </c>
      <c r="S24" s="7">
        <v>10</v>
      </c>
    </row>
    <row r="25" spans="1:19" x14ac:dyDescent="0.25">
      <c r="A25">
        <v>48618</v>
      </c>
      <c r="B25" s="117">
        <v>41231</v>
      </c>
      <c r="C25">
        <v>27259</v>
      </c>
      <c r="D25" s="92">
        <v>6</v>
      </c>
      <c r="P25">
        <v>45188</v>
      </c>
      <c r="Q25" s="93">
        <v>40896</v>
      </c>
      <c r="R25">
        <v>14861</v>
      </c>
      <c r="S25" s="7">
        <v>10</v>
      </c>
    </row>
    <row r="26" spans="1:19" x14ac:dyDescent="0.25">
      <c r="A26">
        <v>48620</v>
      </c>
      <c r="B26" s="117">
        <v>41231</v>
      </c>
      <c r="C26">
        <v>20665</v>
      </c>
      <c r="D26" s="92">
        <v>6</v>
      </c>
      <c r="P26">
        <v>45192</v>
      </c>
      <c r="Q26" s="93">
        <v>40897</v>
      </c>
      <c r="R26">
        <v>14846</v>
      </c>
      <c r="S26" s="7">
        <v>10</v>
      </c>
    </row>
    <row r="27" spans="1:19" x14ac:dyDescent="0.25">
      <c r="A27">
        <v>48627</v>
      </c>
      <c r="B27" s="117">
        <v>41232</v>
      </c>
      <c r="C27">
        <v>28758</v>
      </c>
      <c r="D27" s="92">
        <v>7</v>
      </c>
      <c r="P27">
        <v>45193</v>
      </c>
      <c r="Q27" s="93">
        <v>40897</v>
      </c>
      <c r="R27">
        <v>22889</v>
      </c>
      <c r="S27" s="7">
        <v>6</v>
      </c>
    </row>
    <row r="28" spans="1:19" x14ac:dyDescent="0.25">
      <c r="A28">
        <v>48628</v>
      </c>
      <c r="B28" s="117">
        <v>41232</v>
      </c>
      <c r="C28">
        <v>12381</v>
      </c>
      <c r="D28" s="92">
        <v>10</v>
      </c>
      <c r="P28">
        <v>45198</v>
      </c>
      <c r="Q28" s="93">
        <v>40898</v>
      </c>
      <c r="R28">
        <v>14847</v>
      </c>
      <c r="S28" s="7">
        <v>10</v>
      </c>
    </row>
    <row r="29" spans="1:19" x14ac:dyDescent="0.25">
      <c r="A29">
        <v>48631</v>
      </c>
      <c r="B29" s="117">
        <v>41233</v>
      </c>
      <c r="C29">
        <v>17185</v>
      </c>
      <c r="D29" s="92">
        <v>10</v>
      </c>
      <c r="P29">
        <v>45199</v>
      </c>
      <c r="Q29" s="93">
        <v>40898</v>
      </c>
      <c r="R29">
        <v>29476</v>
      </c>
      <c r="S29" s="7">
        <v>8</v>
      </c>
    </row>
    <row r="30" spans="1:19" x14ac:dyDescent="0.25">
      <c r="A30">
        <v>48632</v>
      </c>
      <c r="B30" s="117">
        <v>41233</v>
      </c>
      <c r="C30">
        <v>17192</v>
      </c>
      <c r="D30" s="92">
        <v>10</v>
      </c>
      <c r="P30">
        <v>45205</v>
      </c>
      <c r="Q30" s="93">
        <v>40899</v>
      </c>
      <c r="R30">
        <v>28420</v>
      </c>
      <c r="S30" s="7">
        <v>7</v>
      </c>
    </row>
    <row r="31" spans="1:19" x14ac:dyDescent="0.25">
      <c r="A31">
        <v>48633</v>
      </c>
      <c r="B31" s="117">
        <v>41233</v>
      </c>
      <c r="C31">
        <v>20875</v>
      </c>
      <c r="D31" s="92">
        <v>10</v>
      </c>
      <c r="P31">
        <v>45206</v>
      </c>
      <c r="Q31" s="93">
        <v>40899</v>
      </c>
      <c r="R31">
        <v>12474</v>
      </c>
      <c r="S31" s="7">
        <v>7</v>
      </c>
    </row>
    <row r="32" spans="1:19" x14ac:dyDescent="0.25">
      <c r="A32">
        <v>48634</v>
      </c>
      <c r="B32" s="117">
        <v>41233</v>
      </c>
      <c r="C32">
        <v>12230</v>
      </c>
      <c r="D32" s="92">
        <v>8</v>
      </c>
      <c r="P32">
        <v>45208</v>
      </c>
      <c r="Q32" s="93">
        <v>40899</v>
      </c>
      <c r="R32">
        <v>19884</v>
      </c>
      <c r="S32" s="7">
        <v>6</v>
      </c>
    </row>
    <row r="33" spans="1:19" x14ac:dyDescent="0.25">
      <c r="A33">
        <v>48635</v>
      </c>
      <c r="B33" s="117">
        <v>41233</v>
      </c>
      <c r="C33">
        <v>28750</v>
      </c>
      <c r="D33" s="92">
        <v>7</v>
      </c>
      <c r="P33">
        <v>45214</v>
      </c>
      <c r="Q33" s="93">
        <v>40900</v>
      </c>
      <c r="R33">
        <v>12464</v>
      </c>
      <c r="S33" s="7">
        <v>7</v>
      </c>
    </row>
    <row r="34" spans="1:19" x14ac:dyDescent="0.25">
      <c r="A34">
        <v>48639</v>
      </c>
      <c r="B34" s="117">
        <v>41233</v>
      </c>
      <c r="C34">
        <v>20670</v>
      </c>
      <c r="D34" s="92">
        <v>6</v>
      </c>
      <c r="P34">
        <v>45219</v>
      </c>
      <c r="Q34" s="93">
        <v>40901</v>
      </c>
      <c r="R34">
        <v>22893</v>
      </c>
      <c r="S34" s="7">
        <v>6</v>
      </c>
    </row>
    <row r="35" spans="1:19" x14ac:dyDescent="0.25">
      <c r="A35">
        <v>48642</v>
      </c>
      <c r="B35" s="117">
        <v>41234</v>
      </c>
      <c r="C35">
        <v>15061</v>
      </c>
      <c r="D35" s="92">
        <v>7</v>
      </c>
      <c r="P35">
        <v>45221</v>
      </c>
      <c r="Q35" s="93">
        <v>40901</v>
      </c>
      <c r="R35">
        <v>22903</v>
      </c>
      <c r="S35" s="7">
        <v>6</v>
      </c>
    </row>
    <row r="36" spans="1:19" x14ac:dyDescent="0.25">
      <c r="A36">
        <v>48643</v>
      </c>
      <c r="B36" s="117">
        <v>41234</v>
      </c>
      <c r="C36">
        <v>20869</v>
      </c>
      <c r="D36" s="92">
        <v>10</v>
      </c>
      <c r="P36">
        <v>45229</v>
      </c>
      <c r="Q36" s="93">
        <v>40903</v>
      </c>
      <c r="R36">
        <v>11387</v>
      </c>
      <c r="S36" s="7">
        <v>10</v>
      </c>
    </row>
    <row r="37" spans="1:19" x14ac:dyDescent="0.25">
      <c r="A37">
        <v>48653</v>
      </c>
      <c r="B37" s="117">
        <v>41234</v>
      </c>
      <c r="C37">
        <v>20680</v>
      </c>
      <c r="D37" s="92">
        <v>6</v>
      </c>
    </row>
    <row r="38" spans="1:19" x14ac:dyDescent="0.25">
      <c r="A38">
        <v>48654</v>
      </c>
      <c r="B38" s="117">
        <v>41235</v>
      </c>
      <c r="C38">
        <v>17094</v>
      </c>
      <c r="D38" s="92">
        <v>10</v>
      </c>
    </row>
    <row r="39" spans="1:19" x14ac:dyDescent="0.25">
      <c r="A39">
        <v>48655</v>
      </c>
      <c r="B39" s="117">
        <v>41235</v>
      </c>
      <c r="C39">
        <v>18183</v>
      </c>
      <c r="D39" s="92">
        <v>8</v>
      </c>
    </row>
    <row r="40" spans="1:19" x14ac:dyDescent="0.25">
      <c r="A40">
        <v>48656</v>
      </c>
      <c r="B40" s="117">
        <v>41235</v>
      </c>
      <c r="C40">
        <v>20829</v>
      </c>
      <c r="D40" s="92">
        <v>8</v>
      </c>
    </row>
    <row r="41" spans="1:19" x14ac:dyDescent="0.25">
      <c r="A41">
        <v>48657</v>
      </c>
      <c r="B41" s="117">
        <v>41235</v>
      </c>
      <c r="C41">
        <v>15067</v>
      </c>
      <c r="D41" s="92">
        <v>7</v>
      </c>
    </row>
    <row r="42" spans="1:19" x14ac:dyDescent="0.25">
      <c r="A42">
        <v>48658</v>
      </c>
      <c r="B42" s="117">
        <v>41235</v>
      </c>
      <c r="C42">
        <v>12228</v>
      </c>
      <c r="D42" s="92">
        <v>8</v>
      </c>
    </row>
    <row r="43" spans="1:19" x14ac:dyDescent="0.25">
      <c r="A43">
        <v>48659</v>
      </c>
      <c r="B43" s="117">
        <v>41235</v>
      </c>
      <c r="C43">
        <v>28749</v>
      </c>
      <c r="D43" s="92">
        <v>7</v>
      </c>
    </row>
    <row r="44" spans="1:19" x14ac:dyDescent="0.25">
      <c r="A44">
        <v>48665</v>
      </c>
      <c r="B44" s="117">
        <v>41235</v>
      </c>
      <c r="C44">
        <v>20872</v>
      </c>
      <c r="D44" s="92">
        <v>10</v>
      </c>
    </row>
    <row r="45" spans="1:19" x14ac:dyDescent="0.25">
      <c r="A45">
        <v>48667</v>
      </c>
      <c r="B45" s="117">
        <v>41236</v>
      </c>
      <c r="C45">
        <v>19341</v>
      </c>
      <c r="D45" s="92">
        <v>10</v>
      </c>
    </row>
    <row r="46" spans="1:19" x14ac:dyDescent="0.25">
      <c r="A46">
        <v>48668</v>
      </c>
      <c r="B46" s="117">
        <v>41236</v>
      </c>
      <c r="C46">
        <v>18626</v>
      </c>
      <c r="D46" s="92">
        <v>8</v>
      </c>
    </row>
    <row r="47" spans="1:19" x14ac:dyDescent="0.25">
      <c r="A47">
        <v>48669</v>
      </c>
      <c r="B47" s="117">
        <v>41236</v>
      </c>
      <c r="C47">
        <v>19293</v>
      </c>
      <c r="D47" s="92">
        <v>7</v>
      </c>
    </row>
    <row r="48" spans="1:19" x14ac:dyDescent="0.25">
      <c r="A48">
        <v>48671</v>
      </c>
      <c r="B48" s="117">
        <v>41236</v>
      </c>
      <c r="C48">
        <v>12270</v>
      </c>
      <c r="D48" s="92">
        <v>8</v>
      </c>
    </row>
    <row r="49" spans="1:4" x14ac:dyDescent="0.25">
      <c r="A49">
        <v>48675</v>
      </c>
      <c r="B49" s="117">
        <v>41237</v>
      </c>
      <c r="C49">
        <v>15079</v>
      </c>
      <c r="D49" s="92">
        <v>7</v>
      </c>
    </row>
    <row r="50" spans="1:4" x14ac:dyDescent="0.25">
      <c r="A50">
        <v>48677</v>
      </c>
      <c r="B50" s="117">
        <v>41237</v>
      </c>
      <c r="C50">
        <v>12391</v>
      </c>
      <c r="D50" s="92">
        <v>10</v>
      </c>
    </row>
    <row r="51" spans="1:4" x14ac:dyDescent="0.25">
      <c r="A51">
        <v>48680</v>
      </c>
      <c r="B51" s="117">
        <v>41237</v>
      </c>
      <c r="C51">
        <v>27242</v>
      </c>
      <c r="D51" s="92">
        <v>6</v>
      </c>
    </row>
    <row r="52" spans="1:4" x14ac:dyDescent="0.25">
      <c r="A52">
        <v>48683</v>
      </c>
      <c r="B52" s="117">
        <v>41238</v>
      </c>
      <c r="C52">
        <v>17648</v>
      </c>
      <c r="D52" s="92">
        <v>7</v>
      </c>
    </row>
    <row r="53" spans="1:4" x14ac:dyDescent="0.25">
      <c r="A53">
        <v>48684</v>
      </c>
      <c r="B53" s="117">
        <v>41238</v>
      </c>
      <c r="C53">
        <v>16534</v>
      </c>
      <c r="D53" s="92">
        <v>8</v>
      </c>
    </row>
    <row r="54" spans="1:4" x14ac:dyDescent="0.25">
      <c r="A54">
        <v>48686</v>
      </c>
      <c r="B54" s="117">
        <v>41238</v>
      </c>
      <c r="C54">
        <v>25999</v>
      </c>
      <c r="D54" s="92">
        <v>6</v>
      </c>
    </row>
    <row r="55" spans="1:4" x14ac:dyDescent="0.25">
      <c r="A55">
        <v>48687</v>
      </c>
      <c r="B55" s="117">
        <v>41238</v>
      </c>
      <c r="C55">
        <v>12317</v>
      </c>
      <c r="D55" s="92">
        <v>10</v>
      </c>
    </row>
    <row r="56" spans="1:4" x14ac:dyDescent="0.25">
      <c r="A56">
        <v>48692</v>
      </c>
      <c r="B56" s="117">
        <v>41239</v>
      </c>
      <c r="C56">
        <v>18171</v>
      </c>
      <c r="D56" s="92">
        <v>8</v>
      </c>
    </row>
    <row r="57" spans="1:4" x14ac:dyDescent="0.25">
      <c r="A57">
        <v>48693</v>
      </c>
      <c r="B57" s="117">
        <v>41239</v>
      </c>
      <c r="C57">
        <v>25995</v>
      </c>
      <c r="D57" s="92">
        <v>6</v>
      </c>
    </row>
    <row r="58" spans="1:4" x14ac:dyDescent="0.25">
      <c r="A58">
        <v>48694</v>
      </c>
      <c r="B58" s="117">
        <v>41239</v>
      </c>
      <c r="C58">
        <v>12315</v>
      </c>
      <c r="D58" s="92">
        <v>10</v>
      </c>
    </row>
    <row r="59" spans="1:4" x14ac:dyDescent="0.25">
      <c r="D59" s="93"/>
    </row>
    <row r="60" spans="1:4" x14ac:dyDescent="0.25">
      <c r="D60" s="93"/>
    </row>
    <row r="61" spans="1:4" x14ac:dyDescent="0.25">
      <c r="D61" s="93"/>
    </row>
    <row r="62" spans="1:4" x14ac:dyDescent="0.25">
      <c r="D62" s="93"/>
    </row>
    <row r="63" spans="1:4" x14ac:dyDescent="0.25">
      <c r="D63" s="93"/>
    </row>
    <row r="64" spans="1:4" x14ac:dyDescent="0.25">
      <c r="D64" s="93"/>
    </row>
    <row r="65" spans="4:4" x14ac:dyDescent="0.25">
      <c r="D65" s="93"/>
    </row>
    <row r="66" spans="4:4" x14ac:dyDescent="0.25">
      <c r="D66" s="93"/>
    </row>
    <row r="67" spans="4:4" x14ac:dyDescent="0.25">
      <c r="D67" s="93"/>
    </row>
    <row r="68" spans="4:4" x14ac:dyDescent="0.25">
      <c r="D68" s="93"/>
    </row>
    <row r="69" spans="4:4" x14ac:dyDescent="0.25">
      <c r="D69" s="93"/>
    </row>
    <row r="70" spans="4:4" x14ac:dyDescent="0.25">
      <c r="D70" s="93"/>
    </row>
    <row r="71" spans="4:4" x14ac:dyDescent="0.25">
      <c r="D71" s="93"/>
    </row>
    <row r="72" spans="4:4" x14ac:dyDescent="0.25">
      <c r="D72" s="93"/>
    </row>
    <row r="73" spans="4:4" x14ac:dyDescent="0.25">
      <c r="D73" s="93"/>
    </row>
    <row r="74" spans="4:4" x14ac:dyDescent="0.25">
      <c r="D74" s="93"/>
    </row>
    <row r="75" spans="4:4" x14ac:dyDescent="0.25">
      <c r="D75" s="93"/>
    </row>
    <row r="76" spans="4:4" x14ac:dyDescent="0.25">
      <c r="D76" s="93"/>
    </row>
    <row r="77" spans="4:4" x14ac:dyDescent="0.25">
      <c r="D77" s="93"/>
    </row>
    <row r="78" spans="4:4" x14ac:dyDescent="0.25">
      <c r="D78" s="93"/>
    </row>
    <row r="79" spans="4:4" x14ac:dyDescent="0.25">
      <c r="D79" s="93"/>
    </row>
    <row r="80" spans="4:4" x14ac:dyDescent="0.25">
      <c r="D80" s="93"/>
    </row>
    <row r="81" spans="4:4" x14ac:dyDescent="0.25">
      <c r="D81" s="93"/>
    </row>
    <row r="82" spans="4:4" x14ac:dyDescent="0.25">
      <c r="D82" s="93"/>
    </row>
    <row r="83" spans="4:4" x14ac:dyDescent="0.25">
      <c r="D83" s="93"/>
    </row>
    <row r="84" spans="4:4" x14ac:dyDescent="0.25">
      <c r="D84" s="93"/>
    </row>
    <row r="85" spans="4:4" x14ac:dyDescent="0.25">
      <c r="D85" s="93"/>
    </row>
    <row r="86" spans="4:4" x14ac:dyDescent="0.25">
      <c r="D86" s="93"/>
    </row>
    <row r="87" spans="4:4" x14ac:dyDescent="0.25">
      <c r="D87" s="93"/>
    </row>
    <row r="88" spans="4:4" x14ac:dyDescent="0.25">
      <c r="D88" s="93"/>
    </row>
    <row r="89" spans="4:4" x14ac:dyDescent="0.25">
      <c r="D89" s="93"/>
    </row>
    <row r="90" spans="4:4" x14ac:dyDescent="0.25">
      <c r="D90" s="93"/>
    </row>
    <row r="91" spans="4:4" x14ac:dyDescent="0.25">
      <c r="D91" s="93"/>
    </row>
    <row r="92" spans="4:4" x14ac:dyDescent="0.25">
      <c r="D92" s="93"/>
    </row>
    <row r="93" spans="4:4" x14ac:dyDescent="0.25">
      <c r="D93" s="93"/>
    </row>
    <row r="94" spans="4:4" x14ac:dyDescent="0.25">
      <c r="D94" s="93"/>
    </row>
    <row r="95" spans="4:4" x14ac:dyDescent="0.25">
      <c r="D95" s="93"/>
    </row>
    <row r="96" spans="4:4" x14ac:dyDescent="0.25">
      <c r="D96" s="93"/>
    </row>
    <row r="97" spans="4:4" x14ac:dyDescent="0.25">
      <c r="D97" s="93"/>
    </row>
    <row r="98" spans="4:4" x14ac:dyDescent="0.25">
      <c r="D98" s="93"/>
    </row>
    <row r="99" spans="4:4" x14ac:dyDescent="0.25">
      <c r="D99" s="93"/>
    </row>
    <row r="100" spans="4:4" x14ac:dyDescent="0.25">
      <c r="D100" s="93"/>
    </row>
    <row r="101" spans="4:4" x14ac:dyDescent="0.25">
      <c r="D101" s="93"/>
    </row>
    <row r="102" spans="4:4" x14ac:dyDescent="0.25">
      <c r="D102" s="93"/>
    </row>
    <row r="103" spans="4:4" x14ac:dyDescent="0.25">
      <c r="D103" s="93"/>
    </row>
    <row r="104" spans="4:4" x14ac:dyDescent="0.25">
      <c r="D104" s="93"/>
    </row>
    <row r="105" spans="4:4" x14ac:dyDescent="0.25">
      <c r="D105" s="93"/>
    </row>
    <row r="106" spans="4:4" x14ac:dyDescent="0.25">
      <c r="D106" s="93"/>
    </row>
    <row r="107" spans="4:4" x14ac:dyDescent="0.25">
      <c r="D107" s="93"/>
    </row>
    <row r="108" spans="4:4" x14ac:dyDescent="0.25">
      <c r="D108" s="93"/>
    </row>
    <row r="109" spans="4:4" x14ac:dyDescent="0.25">
      <c r="D109" s="93"/>
    </row>
    <row r="110" spans="4:4" x14ac:dyDescent="0.25">
      <c r="D110" s="93"/>
    </row>
    <row r="111" spans="4:4" x14ac:dyDescent="0.25">
      <c r="D111" s="93"/>
    </row>
    <row r="112" spans="4:4" x14ac:dyDescent="0.25">
      <c r="D112" s="93"/>
    </row>
    <row r="113" spans="4:4" x14ac:dyDescent="0.25">
      <c r="D113" s="93"/>
    </row>
    <row r="114" spans="4:4" x14ac:dyDescent="0.25">
      <c r="D114" s="93"/>
    </row>
    <row r="115" spans="4:4" x14ac:dyDescent="0.25">
      <c r="D115" s="93"/>
    </row>
    <row r="116" spans="4:4" x14ac:dyDescent="0.25">
      <c r="D116" s="93"/>
    </row>
    <row r="117" spans="4:4" x14ac:dyDescent="0.25">
      <c r="D117" s="93"/>
    </row>
    <row r="118" spans="4:4" x14ac:dyDescent="0.25">
      <c r="D118" s="93"/>
    </row>
    <row r="119" spans="4:4" x14ac:dyDescent="0.25">
      <c r="D119" s="93"/>
    </row>
    <row r="120" spans="4:4" x14ac:dyDescent="0.25">
      <c r="D120" s="93"/>
    </row>
    <row r="121" spans="4:4" x14ac:dyDescent="0.25">
      <c r="D121" s="93"/>
    </row>
    <row r="122" spans="4:4" x14ac:dyDescent="0.25">
      <c r="D122" s="93"/>
    </row>
    <row r="123" spans="4:4" x14ac:dyDescent="0.25">
      <c r="D123" s="93"/>
    </row>
    <row r="124" spans="4:4" x14ac:dyDescent="0.25">
      <c r="D124" s="93"/>
    </row>
    <row r="125" spans="4:4" x14ac:dyDescent="0.25">
      <c r="D125" s="93"/>
    </row>
    <row r="126" spans="4:4" x14ac:dyDescent="0.25">
      <c r="D126" s="93"/>
    </row>
    <row r="127" spans="4:4" x14ac:dyDescent="0.25">
      <c r="D127" s="93"/>
    </row>
    <row r="128" spans="4:4" x14ac:dyDescent="0.25">
      <c r="D128" s="93"/>
    </row>
    <row r="129" spans="4:4" x14ac:dyDescent="0.25">
      <c r="D129" s="93"/>
    </row>
    <row r="130" spans="4:4" x14ac:dyDescent="0.25">
      <c r="D130" s="93"/>
    </row>
    <row r="131" spans="4:4" x14ac:dyDescent="0.25">
      <c r="D131" s="93"/>
    </row>
    <row r="132" spans="4:4" x14ac:dyDescent="0.25">
      <c r="D132" s="93"/>
    </row>
    <row r="133" spans="4:4" x14ac:dyDescent="0.25">
      <c r="D133" s="93"/>
    </row>
    <row r="134" spans="4:4" x14ac:dyDescent="0.25">
      <c r="D134" s="93"/>
    </row>
    <row r="135" spans="4:4" x14ac:dyDescent="0.25">
      <c r="D135" s="93"/>
    </row>
    <row r="136" spans="4:4" x14ac:dyDescent="0.25">
      <c r="D136" s="93"/>
    </row>
    <row r="137" spans="4:4" x14ac:dyDescent="0.25">
      <c r="D137" s="93"/>
    </row>
    <row r="138" spans="4:4" x14ac:dyDescent="0.25">
      <c r="D138" s="93"/>
    </row>
    <row r="139" spans="4:4" x14ac:dyDescent="0.25">
      <c r="D139" s="93"/>
    </row>
    <row r="140" spans="4:4" x14ac:dyDescent="0.25">
      <c r="D140" s="93"/>
    </row>
    <row r="141" spans="4:4" x14ac:dyDescent="0.25">
      <c r="D141" s="93"/>
    </row>
    <row r="142" spans="4:4" x14ac:dyDescent="0.25">
      <c r="D142" s="93"/>
    </row>
    <row r="143" spans="4:4" x14ac:dyDescent="0.25">
      <c r="D143" s="93"/>
    </row>
    <row r="144" spans="4:4" x14ac:dyDescent="0.25">
      <c r="D144" s="93"/>
    </row>
    <row r="145" spans="4:4" x14ac:dyDescent="0.25">
      <c r="D145" s="93"/>
    </row>
    <row r="146" spans="4:4" x14ac:dyDescent="0.25">
      <c r="D146" s="93"/>
    </row>
    <row r="147" spans="4:4" x14ac:dyDescent="0.25">
      <c r="D147" s="93"/>
    </row>
    <row r="148" spans="4:4" x14ac:dyDescent="0.25">
      <c r="D148" s="93"/>
    </row>
    <row r="149" spans="4:4" x14ac:dyDescent="0.25">
      <c r="D149" s="93"/>
    </row>
    <row r="150" spans="4:4" x14ac:dyDescent="0.25">
      <c r="D150" s="93"/>
    </row>
    <row r="151" spans="4:4" x14ac:dyDescent="0.25">
      <c r="D151" s="93"/>
    </row>
    <row r="152" spans="4:4" x14ac:dyDescent="0.25">
      <c r="D152" s="93"/>
    </row>
    <row r="153" spans="4:4" x14ac:dyDescent="0.25">
      <c r="D153" s="93"/>
    </row>
    <row r="154" spans="4:4" x14ac:dyDescent="0.25">
      <c r="D154" s="93"/>
    </row>
    <row r="155" spans="4:4" x14ac:dyDescent="0.25">
      <c r="D155" s="93"/>
    </row>
    <row r="156" spans="4:4" x14ac:dyDescent="0.25">
      <c r="D156" s="93"/>
    </row>
    <row r="157" spans="4:4" x14ac:dyDescent="0.25">
      <c r="D157" s="93"/>
    </row>
    <row r="158" spans="4:4" x14ac:dyDescent="0.25">
      <c r="D158" s="93"/>
    </row>
    <row r="159" spans="4:4" x14ac:dyDescent="0.25">
      <c r="D159" s="93"/>
    </row>
    <row r="160" spans="4:4" x14ac:dyDescent="0.25">
      <c r="D160" s="93"/>
    </row>
    <row r="161" spans="4:4" x14ac:dyDescent="0.25">
      <c r="D161" s="93"/>
    </row>
    <row r="162" spans="4:4" x14ac:dyDescent="0.25">
      <c r="D162" s="93"/>
    </row>
    <row r="163" spans="4:4" x14ac:dyDescent="0.25">
      <c r="D163" s="93"/>
    </row>
    <row r="164" spans="4:4" x14ac:dyDescent="0.25">
      <c r="D164" s="93"/>
    </row>
    <row r="165" spans="4:4" x14ac:dyDescent="0.25">
      <c r="D165" s="93"/>
    </row>
    <row r="166" spans="4:4" x14ac:dyDescent="0.25">
      <c r="D166" s="93"/>
    </row>
    <row r="167" spans="4:4" x14ac:dyDescent="0.25">
      <c r="D167" s="93"/>
    </row>
    <row r="168" spans="4:4" x14ac:dyDescent="0.25">
      <c r="D168" s="93"/>
    </row>
    <row r="169" spans="4:4" x14ac:dyDescent="0.25">
      <c r="D169" s="93"/>
    </row>
    <row r="170" spans="4:4" x14ac:dyDescent="0.25">
      <c r="D170" s="93"/>
    </row>
    <row r="171" spans="4:4" x14ac:dyDescent="0.25">
      <c r="D171" s="93"/>
    </row>
    <row r="172" spans="4:4" x14ac:dyDescent="0.25">
      <c r="D172" s="93"/>
    </row>
    <row r="173" spans="4:4" x14ac:dyDescent="0.25">
      <c r="D173" s="93"/>
    </row>
    <row r="174" spans="4:4" x14ac:dyDescent="0.25">
      <c r="D174" s="93"/>
    </row>
    <row r="175" spans="4:4" x14ac:dyDescent="0.25">
      <c r="D175" s="93"/>
    </row>
    <row r="176" spans="4:4" x14ac:dyDescent="0.25">
      <c r="D176" s="93"/>
    </row>
    <row r="177" spans="4:4" x14ac:dyDescent="0.25">
      <c r="D177" s="93"/>
    </row>
    <row r="178" spans="4:4" x14ac:dyDescent="0.25">
      <c r="D178" s="93"/>
    </row>
    <row r="179" spans="4:4" x14ac:dyDescent="0.25">
      <c r="D179" s="93"/>
    </row>
    <row r="180" spans="4:4" x14ac:dyDescent="0.25">
      <c r="D180" s="93"/>
    </row>
    <row r="181" spans="4:4" x14ac:dyDescent="0.25">
      <c r="D181" s="93"/>
    </row>
    <row r="182" spans="4:4" x14ac:dyDescent="0.25">
      <c r="D182" s="93"/>
    </row>
    <row r="183" spans="4:4" x14ac:dyDescent="0.25">
      <c r="D183" s="93"/>
    </row>
    <row r="184" spans="4:4" x14ac:dyDescent="0.25">
      <c r="D184" s="93"/>
    </row>
    <row r="185" spans="4:4" x14ac:dyDescent="0.25">
      <c r="D185" s="93"/>
    </row>
    <row r="186" spans="4:4" x14ac:dyDescent="0.25">
      <c r="D186" s="93"/>
    </row>
    <row r="187" spans="4:4" x14ac:dyDescent="0.25">
      <c r="D187" s="93"/>
    </row>
    <row r="188" spans="4:4" x14ac:dyDescent="0.25">
      <c r="D188" s="93"/>
    </row>
    <row r="189" spans="4:4" x14ac:dyDescent="0.25">
      <c r="D189" s="93"/>
    </row>
    <row r="190" spans="4:4" x14ac:dyDescent="0.25">
      <c r="D190" s="93"/>
    </row>
    <row r="191" spans="4:4" x14ac:dyDescent="0.25">
      <c r="D191" s="93"/>
    </row>
    <row r="192" spans="4:4" x14ac:dyDescent="0.25">
      <c r="D192" s="93"/>
    </row>
    <row r="193" spans="4:4" x14ac:dyDescent="0.25">
      <c r="D193" s="93"/>
    </row>
    <row r="194" spans="4:4" x14ac:dyDescent="0.25">
      <c r="D194" s="93"/>
    </row>
    <row r="195" spans="4:4" x14ac:dyDescent="0.25">
      <c r="D195" s="93"/>
    </row>
    <row r="196" spans="4:4" x14ac:dyDescent="0.25">
      <c r="D196" s="93"/>
    </row>
    <row r="197" spans="4:4" x14ac:dyDescent="0.25">
      <c r="D197" s="93"/>
    </row>
    <row r="198" spans="4:4" x14ac:dyDescent="0.25">
      <c r="D198" s="93"/>
    </row>
    <row r="199" spans="4:4" x14ac:dyDescent="0.25">
      <c r="D199" s="93"/>
    </row>
    <row r="200" spans="4:4" x14ac:dyDescent="0.25">
      <c r="D200" s="93"/>
    </row>
    <row r="201" spans="4:4" x14ac:dyDescent="0.25">
      <c r="D201" s="93"/>
    </row>
    <row r="202" spans="4:4" x14ac:dyDescent="0.25">
      <c r="D202" s="93"/>
    </row>
    <row r="203" spans="4:4" x14ac:dyDescent="0.25">
      <c r="D203" s="93"/>
    </row>
    <row r="204" spans="4:4" x14ac:dyDescent="0.25">
      <c r="D204" s="93"/>
    </row>
    <row r="205" spans="4:4" x14ac:dyDescent="0.25">
      <c r="D205" s="93"/>
    </row>
    <row r="206" spans="4:4" x14ac:dyDescent="0.25">
      <c r="D206" s="93"/>
    </row>
    <row r="207" spans="4:4" x14ac:dyDescent="0.25">
      <c r="D207" s="93"/>
    </row>
    <row r="208" spans="4:4" x14ac:dyDescent="0.25">
      <c r="D208" s="93"/>
    </row>
    <row r="209" spans="4:4" x14ac:dyDescent="0.25">
      <c r="D209" s="93"/>
    </row>
    <row r="210" spans="4:4" x14ac:dyDescent="0.25">
      <c r="D210" s="93"/>
    </row>
    <row r="211" spans="4:4" x14ac:dyDescent="0.25">
      <c r="D211" s="93"/>
    </row>
    <row r="212" spans="4:4" x14ac:dyDescent="0.25">
      <c r="D212" s="93"/>
    </row>
    <row r="213" spans="4:4" x14ac:dyDescent="0.25">
      <c r="D213" s="93"/>
    </row>
    <row r="214" spans="4:4" x14ac:dyDescent="0.25">
      <c r="D214" s="93"/>
    </row>
    <row r="215" spans="4:4" x14ac:dyDescent="0.25">
      <c r="D215" s="93"/>
    </row>
    <row r="216" spans="4:4" x14ac:dyDescent="0.25">
      <c r="D216" s="93"/>
    </row>
    <row r="217" spans="4:4" x14ac:dyDescent="0.25">
      <c r="D217" s="93"/>
    </row>
    <row r="218" spans="4:4" x14ac:dyDescent="0.25">
      <c r="D218" s="93"/>
    </row>
    <row r="219" spans="4:4" x14ac:dyDescent="0.25">
      <c r="D219" s="93"/>
    </row>
    <row r="220" spans="4:4" x14ac:dyDescent="0.25">
      <c r="D220" s="93"/>
    </row>
    <row r="221" spans="4:4" x14ac:dyDescent="0.25">
      <c r="D221" s="93"/>
    </row>
    <row r="222" spans="4:4" x14ac:dyDescent="0.25">
      <c r="D222" s="93"/>
    </row>
    <row r="223" spans="4:4" x14ac:dyDescent="0.25">
      <c r="D223" s="93"/>
    </row>
    <row r="224" spans="4:4" x14ac:dyDescent="0.25">
      <c r="D224" s="93"/>
    </row>
    <row r="225" spans="4:4" x14ac:dyDescent="0.25">
      <c r="D225" s="93"/>
    </row>
    <row r="226" spans="4:4" x14ac:dyDescent="0.25">
      <c r="D226" s="93"/>
    </row>
    <row r="227" spans="4:4" x14ac:dyDescent="0.25">
      <c r="D227" s="93"/>
    </row>
    <row r="228" spans="4:4" x14ac:dyDescent="0.25">
      <c r="D228" s="93"/>
    </row>
    <row r="229" spans="4:4" x14ac:dyDescent="0.25">
      <c r="D229" s="93"/>
    </row>
    <row r="230" spans="4:4" x14ac:dyDescent="0.25">
      <c r="D230" s="93"/>
    </row>
    <row r="231" spans="4:4" x14ac:dyDescent="0.25">
      <c r="D231" s="93"/>
    </row>
    <row r="232" spans="4:4" x14ac:dyDescent="0.25">
      <c r="D232" s="93"/>
    </row>
    <row r="233" spans="4:4" x14ac:dyDescent="0.25">
      <c r="D233" s="93"/>
    </row>
    <row r="234" spans="4:4" x14ac:dyDescent="0.25">
      <c r="D234" s="93"/>
    </row>
    <row r="235" spans="4:4" x14ac:dyDescent="0.25">
      <c r="D235" s="93"/>
    </row>
    <row r="236" spans="4:4" x14ac:dyDescent="0.25">
      <c r="D236" s="93"/>
    </row>
    <row r="237" spans="4:4" x14ac:dyDescent="0.25">
      <c r="D237" s="93"/>
    </row>
    <row r="238" spans="4:4" x14ac:dyDescent="0.25">
      <c r="D238" s="93"/>
    </row>
    <row r="239" spans="4:4" x14ac:dyDescent="0.25">
      <c r="D239" s="93"/>
    </row>
    <row r="240" spans="4:4" x14ac:dyDescent="0.25">
      <c r="D240" s="93"/>
    </row>
    <row r="241" spans="4:4" x14ac:dyDescent="0.25">
      <c r="D241" s="93"/>
    </row>
    <row r="242" spans="4:4" x14ac:dyDescent="0.25">
      <c r="D242" s="93"/>
    </row>
    <row r="243" spans="4:4" x14ac:dyDescent="0.25">
      <c r="D243" s="93"/>
    </row>
    <row r="244" spans="4:4" x14ac:dyDescent="0.25">
      <c r="D244" s="93"/>
    </row>
    <row r="245" spans="4:4" x14ac:dyDescent="0.25">
      <c r="D245" s="93"/>
    </row>
    <row r="246" spans="4:4" x14ac:dyDescent="0.25">
      <c r="D246" s="93"/>
    </row>
    <row r="247" spans="4:4" x14ac:dyDescent="0.25">
      <c r="D247" s="93"/>
    </row>
    <row r="248" spans="4:4" x14ac:dyDescent="0.25">
      <c r="D248" s="93"/>
    </row>
    <row r="249" spans="4:4" x14ac:dyDescent="0.25">
      <c r="D249" s="93"/>
    </row>
    <row r="250" spans="4:4" x14ac:dyDescent="0.25">
      <c r="D250" s="93"/>
    </row>
    <row r="251" spans="4:4" x14ac:dyDescent="0.25">
      <c r="D251" s="93"/>
    </row>
    <row r="252" spans="4:4" x14ac:dyDescent="0.25">
      <c r="D252" s="93"/>
    </row>
    <row r="253" spans="4:4" x14ac:dyDescent="0.25">
      <c r="D253" s="93"/>
    </row>
    <row r="254" spans="4:4" x14ac:dyDescent="0.25">
      <c r="D254" s="93"/>
    </row>
    <row r="255" spans="4:4" x14ac:dyDescent="0.25">
      <c r="D255" s="93"/>
    </row>
    <row r="256" spans="4:4" x14ac:dyDescent="0.25">
      <c r="D256" s="93"/>
    </row>
    <row r="257" spans="4:4" x14ac:dyDescent="0.25">
      <c r="D257" s="93"/>
    </row>
    <row r="258" spans="4:4" x14ac:dyDescent="0.25">
      <c r="D258" s="93"/>
    </row>
    <row r="259" spans="4:4" x14ac:dyDescent="0.25">
      <c r="D259" s="93"/>
    </row>
    <row r="260" spans="4:4" x14ac:dyDescent="0.25">
      <c r="D260" s="93"/>
    </row>
    <row r="261" spans="4:4" x14ac:dyDescent="0.25">
      <c r="D261" s="93"/>
    </row>
    <row r="262" spans="4:4" x14ac:dyDescent="0.25">
      <c r="D262" s="93"/>
    </row>
    <row r="263" spans="4:4" x14ac:dyDescent="0.25">
      <c r="D263" s="93"/>
    </row>
    <row r="264" spans="4:4" x14ac:dyDescent="0.25">
      <c r="D264" s="93"/>
    </row>
    <row r="265" spans="4:4" x14ac:dyDescent="0.25">
      <c r="D265" s="93"/>
    </row>
    <row r="266" spans="4:4" x14ac:dyDescent="0.25">
      <c r="D266" s="93"/>
    </row>
    <row r="267" spans="4:4" x14ac:dyDescent="0.25">
      <c r="D267" s="93"/>
    </row>
    <row r="268" spans="4:4" x14ac:dyDescent="0.25">
      <c r="D268" s="93"/>
    </row>
    <row r="269" spans="4:4" x14ac:dyDescent="0.25">
      <c r="D269" s="93"/>
    </row>
    <row r="270" spans="4:4" x14ac:dyDescent="0.25">
      <c r="D270" s="93"/>
    </row>
    <row r="271" spans="4:4" x14ac:dyDescent="0.25">
      <c r="D271" s="93"/>
    </row>
    <row r="272" spans="4:4" x14ac:dyDescent="0.25">
      <c r="D272" s="93"/>
    </row>
    <row r="273" spans="4:4" x14ac:dyDescent="0.25">
      <c r="D273" s="93"/>
    </row>
    <row r="274" spans="4:4" x14ac:dyDescent="0.25">
      <c r="D274" s="93"/>
    </row>
    <row r="275" spans="4:4" x14ac:dyDescent="0.25">
      <c r="D275" s="93"/>
    </row>
    <row r="276" spans="4:4" x14ac:dyDescent="0.25">
      <c r="D276" s="93"/>
    </row>
    <row r="277" spans="4:4" x14ac:dyDescent="0.25">
      <c r="D277" s="93"/>
    </row>
    <row r="278" spans="4:4" x14ac:dyDescent="0.25">
      <c r="D278" s="93"/>
    </row>
    <row r="279" spans="4:4" x14ac:dyDescent="0.25">
      <c r="D279" s="93"/>
    </row>
    <row r="280" spans="4:4" x14ac:dyDescent="0.25">
      <c r="D280" s="93"/>
    </row>
    <row r="281" spans="4:4" x14ac:dyDescent="0.25">
      <c r="D281" s="93"/>
    </row>
    <row r="282" spans="4:4" x14ac:dyDescent="0.25">
      <c r="D282" s="93"/>
    </row>
    <row r="283" spans="4:4" x14ac:dyDescent="0.25">
      <c r="D283" s="93"/>
    </row>
    <row r="284" spans="4:4" x14ac:dyDescent="0.25">
      <c r="D284" s="93"/>
    </row>
    <row r="285" spans="4:4" x14ac:dyDescent="0.25">
      <c r="D285" s="93"/>
    </row>
    <row r="286" spans="4:4" x14ac:dyDescent="0.25">
      <c r="D286" s="93"/>
    </row>
    <row r="287" spans="4:4" x14ac:dyDescent="0.25">
      <c r="D287" s="93"/>
    </row>
    <row r="288" spans="4:4" x14ac:dyDescent="0.25">
      <c r="D288" s="93"/>
    </row>
    <row r="289" spans="4:4" x14ac:dyDescent="0.25">
      <c r="D289" s="93"/>
    </row>
    <row r="290" spans="4:4" x14ac:dyDescent="0.25">
      <c r="D290" s="93"/>
    </row>
    <row r="291" spans="4:4" x14ac:dyDescent="0.25">
      <c r="D291" s="93"/>
    </row>
    <row r="292" spans="4:4" x14ac:dyDescent="0.25">
      <c r="D292" s="93"/>
    </row>
    <row r="293" spans="4:4" x14ac:dyDescent="0.25">
      <c r="D293" s="93"/>
    </row>
    <row r="294" spans="4:4" x14ac:dyDescent="0.25">
      <c r="D294" s="93"/>
    </row>
  </sheetData>
  <sheetProtection algorithmName="SHA-512" hashValue="5Uzqnpa0hdnlVd9WchJC1Co29j/YEJCQfAum0zJ1AtoHVkjpQCLFgZkncWPfHjpC4cZhb691TBw9x4rl5tN+QA==" saltValue="p4brMbEZvOV28j3pP5cDyQ==" spinCount="100000"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AA091-6F98-49AD-A4DD-2C5449726F41}">
  <sheetPr codeName="Sheet15"/>
  <dimension ref="A1:J9"/>
  <sheetViews>
    <sheetView workbookViewId="0">
      <selection activeCell="J5" sqref="J5:J9"/>
    </sheetView>
  </sheetViews>
  <sheetFormatPr defaultRowHeight="15" x14ac:dyDescent="0.25"/>
  <cols>
    <col min="1" max="1" width="38.85546875" customWidth="1"/>
    <col min="2" max="2" width="25.28515625" customWidth="1"/>
    <col min="3" max="3" width="15" customWidth="1"/>
    <col min="4" max="4" width="31.85546875" customWidth="1"/>
  </cols>
  <sheetData>
    <row r="1" spans="1:10" x14ac:dyDescent="0.25">
      <c r="A1" s="87" t="s">
        <v>167</v>
      </c>
      <c r="D1" t="s">
        <v>177</v>
      </c>
      <c r="G1" s="94" t="s">
        <v>479</v>
      </c>
    </row>
    <row r="2" spans="1:10" ht="130.9" customHeight="1" x14ac:dyDescent="0.25">
      <c r="A2" s="132" t="s">
        <v>480</v>
      </c>
      <c r="B2" s="133"/>
      <c r="C2" s="133"/>
      <c r="D2" s="133"/>
    </row>
    <row r="3" spans="1:10" ht="15.75" x14ac:dyDescent="0.25">
      <c r="A3" s="89" t="s">
        <v>182</v>
      </c>
      <c r="F3" t="s">
        <v>209</v>
      </c>
    </row>
    <row r="5" spans="1:10" x14ac:dyDescent="0.25">
      <c r="A5" s="86" t="s">
        <v>261</v>
      </c>
      <c r="B5" s="86" t="s">
        <v>183</v>
      </c>
      <c r="C5" s="86" t="s">
        <v>482</v>
      </c>
      <c r="D5" t="s">
        <v>262</v>
      </c>
      <c r="J5" s="119" t="s">
        <v>583</v>
      </c>
    </row>
    <row r="6" spans="1:10" x14ac:dyDescent="0.25">
      <c r="A6" s="86" t="s">
        <v>263</v>
      </c>
      <c r="B6" s="86" t="s">
        <v>264</v>
      </c>
      <c r="C6" s="86">
        <v>1</v>
      </c>
      <c r="D6" t="s">
        <v>265</v>
      </c>
      <c r="J6" s="119" t="s">
        <v>584</v>
      </c>
    </row>
    <row r="7" spans="1:10" x14ac:dyDescent="0.25">
      <c r="A7" t="s">
        <v>266</v>
      </c>
      <c r="B7" t="s">
        <v>267</v>
      </c>
      <c r="C7">
        <v>1</v>
      </c>
      <c r="D7" t="s">
        <v>268</v>
      </c>
      <c r="J7" s="119" t="s">
        <v>585</v>
      </c>
    </row>
    <row r="8" spans="1:10" x14ac:dyDescent="0.25">
      <c r="A8" t="s">
        <v>269</v>
      </c>
      <c r="B8" t="s">
        <v>270</v>
      </c>
      <c r="C8">
        <v>1</v>
      </c>
      <c r="D8" t="s">
        <v>271</v>
      </c>
      <c r="J8" s="119" t="s">
        <v>586</v>
      </c>
    </row>
    <row r="9" spans="1:10" x14ac:dyDescent="0.25">
      <c r="A9" t="s">
        <v>272</v>
      </c>
      <c r="B9" t="s">
        <v>273</v>
      </c>
      <c r="C9">
        <v>2</v>
      </c>
      <c r="D9" t="s">
        <v>274</v>
      </c>
      <c r="J9" s="119" t="s">
        <v>587</v>
      </c>
    </row>
  </sheetData>
  <sheetProtection algorithmName="SHA-512" hashValue="ngKMtwX5EvCGEEjWRiIIb5/HOexajYqSA+prvZKSIhCFleCpH42d9uTTwlVC49x12v6+Dt+2RFrHr7grsUoMNA==" saltValue="adVRGu+kkeK26HVbYUVzzg==" spinCount="100000" sheet="1" objects="1" scenarios="1"/>
  <mergeCells count="1">
    <mergeCell ref="A2:D2"/>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67C1-D2B3-4BED-AFCC-585C17D43B76}">
  <sheetPr codeName="Sheet16"/>
  <dimension ref="A2:F11"/>
  <sheetViews>
    <sheetView workbookViewId="0">
      <selection activeCell="E3" sqref="E3"/>
    </sheetView>
  </sheetViews>
  <sheetFormatPr defaultRowHeight="15" x14ac:dyDescent="0.25"/>
  <cols>
    <col min="1" max="1" width="15.140625" customWidth="1"/>
    <col min="2" max="2" width="10" customWidth="1"/>
    <col min="5" max="5" width="30.28515625" customWidth="1"/>
  </cols>
  <sheetData>
    <row r="2" spans="1:6" x14ac:dyDescent="0.25">
      <c r="A2" cm="1">
        <f t="array" ref="A2">gradeGenericQuestionRange("Text",A5:D9,10,Question5!A5:D9)</f>
        <v>10</v>
      </c>
      <c r="E2" s="90"/>
      <c r="F2" s="90" t="s">
        <v>275</v>
      </c>
    </row>
    <row r="3" spans="1:6" x14ac:dyDescent="0.25">
      <c r="E3" s="90"/>
      <c r="F3" s="90" t="s">
        <v>276</v>
      </c>
    </row>
    <row r="4" spans="1:6" x14ac:dyDescent="0.25">
      <c r="E4" s="90"/>
      <c r="F4" s="90" t="s">
        <v>277</v>
      </c>
    </row>
    <row r="5" spans="1:6" x14ac:dyDescent="0.25">
      <c r="A5" t="s">
        <v>261</v>
      </c>
      <c r="B5" t="s">
        <v>183</v>
      </c>
      <c r="C5" t="s">
        <v>482</v>
      </c>
      <c r="D5" t="s">
        <v>262</v>
      </c>
      <c r="F5" s="90" t="s">
        <v>278</v>
      </c>
    </row>
    <row r="6" spans="1:6" x14ac:dyDescent="0.25">
      <c r="A6" t="s">
        <v>263</v>
      </c>
      <c r="B6" t="s">
        <v>264</v>
      </c>
      <c r="C6">
        <v>1</v>
      </c>
      <c r="D6" t="s">
        <v>265</v>
      </c>
      <c r="F6" s="90" t="s">
        <v>279</v>
      </c>
    </row>
    <row r="7" spans="1:6" x14ac:dyDescent="0.25">
      <c r="A7" t="s">
        <v>266</v>
      </c>
      <c r="B7" t="s">
        <v>267</v>
      </c>
      <c r="C7">
        <v>1</v>
      </c>
      <c r="D7" t="s">
        <v>268</v>
      </c>
      <c r="F7" s="94"/>
    </row>
    <row r="8" spans="1:6" x14ac:dyDescent="0.25">
      <c r="A8" t="s">
        <v>269</v>
      </c>
      <c r="B8" t="s">
        <v>270</v>
      </c>
      <c r="C8">
        <v>1</v>
      </c>
      <c r="D8" t="s">
        <v>271</v>
      </c>
    </row>
    <row r="9" spans="1:6" x14ac:dyDescent="0.25">
      <c r="A9" t="s">
        <v>272</v>
      </c>
      <c r="B9" t="s">
        <v>273</v>
      </c>
      <c r="C9">
        <v>2</v>
      </c>
      <c r="D9" t="s">
        <v>274</v>
      </c>
    </row>
    <row r="11" spans="1:6" x14ac:dyDescent="0.25">
      <c r="F11" t="s">
        <v>481</v>
      </c>
    </row>
  </sheetData>
  <sheetProtection algorithmName="SHA-512" hashValue="JsJgGy4NRbkLixLF3d0+y5fGxbIgNTbTyxpUNguAdP4P8BblOMCSyAnWU6HaDKM5JQEibHRwsBxyT8o9v1So0g==" saltValue="5b3k4kj2JM/1hK8sa0B6wg==" spinCount="100000" sheet="1" objects="1" scenarios="1"/>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023DF-D4AC-4EA5-B7AB-536EAA1C3606}">
  <sheetPr codeName="Sheet17"/>
  <dimension ref="A1:N72"/>
  <sheetViews>
    <sheetView workbookViewId="0">
      <selection activeCell="M15" sqref="M15"/>
    </sheetView>
  </sheetViews>
  <sheetFormatPr defaultRowHeight="15" x14ac:dyDescent="0.25"/>
  <cols>
    <col min="1" max="1" width="25.7109375" customWidth="1"/>
    <col min="2" max="2" width="26.5703125" customWidth="1"/>
    <col min="3" max="3" width="40" customWidth="1"/>
    <col min="4" max="4" width="19.28515625" customWidth="1"/>
  </cols>
  <sheetData>
    <row r="1" spans="1:14" x14ac:dyDescent="0.25">
      <c r="A1" s="87" t="s">
        <v>174</v>
      </c>
      <c r="B1" s="87">
        <f>Answer6!D1</f>
        <v>10</v>
      </c>
      <c r="C1" s="87" t="s">
        <v>175</v>
      </c>
      <c r="D1" t="s">
        <v>177</v>
      </c>
      <c r="H1" s="94" t="s">
        <v>526</v>
      </c>
    </row>
    <row r="2" spans="1:14" ht="115.15" customHeight="1" x14ac:dyDescent="0.25">
      <c r="A2" s="132" t="s">
        <v>530</v>
      </c>
      <c r="B2" s="134"/>
      <c r="C2" s="134"/>
      <c r="D2" s="134"/>
      <c r="E2" s="115"/>
      <c r="F2" s="115"/>
    </row>
    <row r="3" spans="1:14" ht="15.75" x14ac:dyDescent="0.25">
      <c r="A3" s="89" t="s">
        <v>173</v>
      </c>
      <c r="N3" s="119" t="s">
        <v>640</v>
      </c>
    </row>
    <row r="4" spans="1:14" x14ac:dyDescent="0.25">
      <c r="N4" s="119" t="s">
        <v>641</v>
      </c>
    </row>
    <row r="5" spans="1:14" x14ac:dyDescent="0.25">
      <c r="A5" s="86" t="s">
        <v>285</v>
      </c>
      <c r="B5" s="86" t="s">
        <v>170</v>
      </c>
      <c r="C5" s="86" t="s">
        <v>171</v>
      </c>
      <c r="D5" t="s">
        <v>590</v>
      </c>
      <c r="N5" s="119" t="s">
        <v>642</v>
      </c>
    </row>
    <row r="6" spans="1:14" x14ac:dyDescent="0.25">
      <c r="A6" s="86">
        <v>470689086</v>
      </c>
      <c r="B6" s="86" t="s">
        <v>591</v>
      </c>
      <c r="C6" s="86" t="s">
        <v>592</v>
      </c>
      <c r="D6" t="s">
        <v>280</v>
      </c>
      <c r="N6" s="119" t="s">
        <v>643</v>
      </c>
    </row>
    <row r="7" spans="1:14" x14ac:dyDescent="0.25">
      <c r="A7">
        <v>377784364</v>
      </c>
      <c r="B7" t="s">
        <v>483</v>
      </c>
      <c r="C7" t="s">
        <v>484</v>
      </c>
      <c r="D7" t="s">
        <v>280</v>
      </c>
      <c r="N7" s="119" t="s">
        <v>644</v>
      </c>
    </row>
    <row r="8" spans="1:14" x14ac:dyDescent="0.25">
      <c r="A8">
        <v>131471224</v>
      </c>
      <c r="B8" t="s">
        <v>593</v>
      </c>
      <c r="C8" t="s">
        <v>594</v>
      </c>
      <c r="D8" t="s">
        <v>280</v>
      </c>
    </row>
    <row r="9" spans="1:14" x14ac:dyDescent="0.25">
      <c r="A9">
        <v>764853868</v>
      </c>
      <c r="B9" t="s">
        <v>485</v>
      </c>
      <c r="C9" t="s">
        <v>486</v>
      </c>
      <c r="D9" t="s">
        <v>280</v>
      </c>
    </row>
    <row r="10" spans="1:14" x14ac:dyDescent="0.25">
      <c r="A10">
        <v>792847334</v>
      </c>
      <c r="B10" t="s">
        <v>595</v>
      </c>
      <c r="C10" t="s">
        <v>596</v>
      </c>
      <c r="D10" t="s">
        <v>280</v>
      </c>
    </row>
    <row r="11" spans="1:14" x14ac:dyDescent="0.25">
      <c r="A11">
        <v>969985265</v>
      </c>
      <c r="B11" t="s">
        <v>487</v>
      </c>
      <c r="C11" t="s">
        <v>162</v>
      </c>
      <c r="D11" t="s">
        <v>82</v>
      </c>
    </row>
    <row r="12" spans="1:14" x14ac:dyDescent="0.25">
      <c r="A12">
        <v>363910111</v>
      </c>
      <c r="B12" t="s">
        <v>597</v>
      </c>
      <c r="C12" t="s">
        <v>598</v>
      </c>
      <c r="D12" t="s">
        <v>82</v>
      </c>
    </row>
    <row r="13" spans="1:14" x14ac:dyDescent="0.25">
      <c r="A13">
        <v>999440576</v>
      </c>
      <c r="B13" t="s">
        <v>488</v>
      </c>
      <c r="C13" t="s">
        <v>160</v>
      </c>
      <c r="D13" t="s">
        <v>280</v>
      </c>
    </row>
    <row r="14" spans="1:14" x14ac:dyDescent="0.25">
      <c r="A14">
        <v>634335025</v>
      </c>
      <c r="B14" t="s">
        <v>599</v>
      </c>
      <c r="C14" t="s">
        <v>600</v>
      </c>
      <c r="D14" t="s">
        <v>82</v>
      </c>
    </row>
    <row r="15" spans="1:14" x14ac:dyDescent="0.25">
      <c r="A15">
        <v>368691270</v>
      </c>
      <c r="B15" t="s">
        <v>601</v>
      </c>
      <c r="C15" t="s">
        <v>592</v>
      </c>
      <c r="D15" t="s">
        <v>280</v>
      </c>
    </row>
    <row r="16" spans="1:14" x14ac:dyDescent="0.25">
      <c r="A16">
        <v>410742000</v>
      </c>
      <c r="B16" t="s">
        <v>489</v>
      </c>
      <c r="C16" t="s">
        <v>160</v>
      </c>
      <c r="D16" t="s">
        <v>82</v>
      </c>
    </row>
    <row r="17" spans="1:4" x14ac:dyDescent="0.25">
      <c r="A17">
        <v>227319668</v>
      </c>
      <c r="B17" t="s">
        <v>490</v>
      </c>
      <c r="C17" t="s">
        <v>486</v>
      </c>
      <c r="D17" t="s">
        <v>82</v>
      </c>
    </row>
    <row r="18" spans="1:4" x14ac:dyDescent="0.25">
      <c r="A18">
        <v>599942664</v>
      </c>
      <c r="B18" t="s">
        <v>491</v>
      </c>
      <c r="C18" t="s">
        <v>492</v>
      </c>
      <c r="D18" t="s">
        <v>280</v>
      </c>
    </row>
    <row r="19" spans="1:4" x14ac:dyDescent="0.25">
      <c r="A19">
        <v>539490372</v>
      </c>
      <c r="B19" t="s">
        <v>493</v>
      </c>
      <c r="C19" t="s">
        <v>484</v>
      </c>
      <c r="D19" t="s">
        <v>280</v>
      </c>
    </row>
    <row r="20" spans="1:4" x14ac:dyDescent="0.25">
      <c r="A20">
        <v>260805477</v>
      </c>
      <c r="B20" t="s">
        <v>602</v>
      </c>
      <c r="C20" t="s">
        <v>603</v>
      </c>
      <c r="D20" t="s">
        <v>280</v>
      </c>
    </row>
    <row r="21" spans="1:4" x14ac:dyDescent="0.25">
      <c r="A21">
        <v>671089628</v>
      </c>
      <c r="B21" t="s">
        <v>604</v>
      </c>
      <c r="C21" t="s">
        <v>605</v>
      </c>
      <c r="D21" t="s">
        <v>280</v>
      </c>
    </row>
    <row r="22" spans="1:4" x14ac:dyDescent="0.25">
      <c r="A22">
        <v>929666391</v>
      </c>
      <c r="B22" t="s">
        <v>606</v>
      </c>
      <c r="C22" t="s">
        <v>607</v>
      </c>
      <c r="D22" t="s">
        <v>280</v>
      </c>
    </row>
    <row r="23" spans="1:4" x14ac:dyDescent="0.25">
      <c r="A23">
        <v>30845</v>
      </c>
      <c r="B23" t="s">
        <v>608</v>
      </c>
      <c r="C23" t="s">
        <v>609</v>
      </c>
      <c r="D23" t="s">
        <v>280</v>
      </c>
    </row>
    <row r="24" spans="1:4" x14ac:dyDescent="0.25">
      <c r="A24">
        <v>860123571</v>
      </c>
      <c r="B24" t="s">
        <v>494</v>
      </c>
      <c r="C24" t="s">
        <v>486</v>
      </c>
      <c r="D24" t="s">
        <v>280</v>
      </c>
    </row>
    <row r="25" spans="1:4" x14ac:dyDescent="0.25">
      <c r="A25">
        <v>652535724</v>
      </c>
      <c r="B25" t="s">
        <v>495</v>
      </c>
      <c r="C25" t="s">
        <v>492</v>
      </c>
      <c r="D25" t="s">
        <v>82</v>
      </c>
    </row>
    <row r="26" spans="1:4" x14ac:dyDescent="0.25">
      <c r="A26">
        <v>222400012</v>
      </c>
      <c r="B26" t="s">
        <v>496</v>
      </c>
      <c r="C26" t="s">
        <v>492</v>
      </c>
      <c r="D26" t="s">
        <v>280</v>
      </c>
    </row>
    <row r="27" spans="1:4" x14ac:dyDescent="0.25">
      <c r="A27">
        <v>663843431</v>
      </c>
      <c r="B27" t="s">
        <v>610</v>
      </c>
      <c r="C27" t="s">
        <v>611</v>
      </c>
      <c r="D27" t="s">
        <v>280</v>
      </c>
    </row>
    <row r="28" spans="1:4" x14ac:dyDescent="0.25">
      <c r="A28">
        <v>134969118</v>
      </c>
      <c r="B28" t="s">
        <v>612</v>
      </c>
      <c r="C28" t="s">
        <v>613</v>
      </c>
      <c r="D28" t="s">
        <v>280</v>
      </c>
    </row>
    <row r="29" spans="1:4" x14ac:dyDescent="0.25">
      <c r="A29">
        <v>912141525</v>
      </c>
      <c r="B29" t="s">
        <v>497</v>
      </c>
      <c r="C29" t="s">
        <v>492</v>
      </c>
      <c r="D29" t="s">
        <v>82</v>
      </c>
    </row>
    <row r="30" spans="1:4" x14ac:dyDescent="0.25">
      <c r="A30">
        <v>45615666</v>
      </c>
      <c r="B30" t="s">
        <v>614</v>
      </c>
      <c r="C30" t="s">
        <v>615</v>
      </c>
      <c r="D30" t="s">
        <v>280</v>
      </c>
    </row>
    <row r="31" spans="1:4" x14ac:dyDescent="0.25">
      <c r="A31">
        <v>749211824</v>
      </c>
      <c r="B31" t="s">
        <v>498</v>
      </c>
      <c r="C31" t="s">
        <v>161</v>
      </c>
      <c r="D31" t="s">
        <v>280</v>
      </c>
    </row>
    <row r="32" spans="1:4" x14ac:dyDescent="0.25">
      <c r="A32">
        <v>440379437</v>
      </c>
      <c r="B32" t="s">
        <v>499</v>
      </c>
      <c r="C32" t="s">
        <v>161</v>
      </c>
      <c r="D32" t="s">
        <v>280</v>
      </c>
    </row>
    <row r="33" spans="1:4" x14ac:dyDescent="0.25">
      <c r="A33">
        <v>658797903</v>
      </c>
      <c r="B33" t="s">
        <v>616</v>
      </c>
      <c r="C33" t="s">
        <v>617</v>
      </c>
      <c r="D33" t="s">
        <v>82</v>
      </c>
    </row>
    <row r="34" spans="1:4" x14ac:dyDescent="0.25">
      <c r="A34">
        <v>153288994</v>
      </c>
      <c r="B34" t="s">
        <v>500</v>
      </c>
      <c r="C34" t="s">
        <v>492</v>
      </c>
      <c r="D34" t="s">
        <v>280</v>
      </c>
    </row>
    <row r="35" spans="1:4" x14ac:dyDescent="0.25">
      <c r="A35">
        <v>519756660</v>
      </c>
      <c r="B35" t="s">
        <v>618</v>
      </c>
      <c r="C35" t="s">
        <v>611</v>
      </c>
      <c r="D35" t="s">
        <v>82</v>
      </c>
    </row>
    <row r="36" spans="1:4" x14ac:dyDescent="0.25">
      <c r="A36">
        <v>712885347</v>
      </c>
      <c r="B36" t="s">
        <v>619</v>
      </c>
      <c r="C36" t="s">
        <v>620</v>
      </c>
      <c r="D36" t="s">
        <v>280</v>
      </c>
    </row>
    <row r="37" spans="1:4" x14ac:dyDescent="0.25">
      <c r="A37">
        <v>72636981</v>
      </c>
      <c r="B37" t="s">
        <v>621</v>
      </c>
      <c r="C37" t="s">
        <v>622</v>
      </c>
      <c r="D37" t="s">
        <v>82</v>
      </c>
    </row>
    <row r="38" spans="1:4" x14ac:dyDescent="0.25">
      <c r="A38">
        <v>652779496</v>
      </c>
      <c r="B38" t="s">
        <v>623</v>
      </c>
      <c r="C38" t="s">
        <v>624</v>
      </c>
      <c r="D38" t="s">
        <v>280</v>
      </c>
    </row>
    <row r="39" spans="1:4" x14ac:dyDescent="0.25">
      <c r="A39">
        <v>305522471</v>
      </c>
      <c r="B39" t="s">
        <v>501</v>
      </c>
      <c r="C39" t="s">
        <v>162</v>
      </c>
      <c r="D39" t="s">
        <v>280</v>
      </c>
    </row>
    <row r="40" spans="1:4" x14ac:dyDescent="0.25">
      <c r="A40">
        <v>788456780</v>
      </c>
      <c r="B40" t="s">
        <v>502</v>
      </c>
      <c r="C40" t="s">
        <v>160</v>
      </c>
      <c r="D40" t="s">
        <v>280</v>
      </c>
    </row>
    <row r="41" spans="1:4" x14ac:dyDescent="0.25">
      <c r="A41">
        <v>260770918</v>
      </c>
      <c r="B41" t="s">
        <v>625</v>
      </c>
      <c r="C41" t="s">
        <v>626</v>
      </c>
      <c r="D41" t="s">
        <v>82</v>
      </c>
    </row>
    <row r="42" spans="1:4" x14ac:dyDescent="0.25">
      <c r="A42">
        <v>167554340</v>
      </c>
      <c r="B42" t="s">
        <v>503</v>
      </c>
      <c r="C42" t="s">
        <v>484</v>
      </c>
      <c r="D42" t="s">
        <v>82</v>
      </c>
    </row>
    <row r="43" spans="1:4" x14ac:dyDescent="0.25">
      <c r="A43">
        <v>693168613</v>
      </c>
      <c r="B43" t="s">
        <v>504</v>
      </c>
      <c r="C43" t="s">
        <v>161</v>
      </c>
      <c r="D43" t="s">
        <v>280</v>
      </c>
    </row>
    <row r="44" spans="1:4" x14ac:dyDescent="0.25">
      <c r="A44">
        <v>322160340</v>
      </c>
      <c r="B44" t="s">
        <v>505</v>
      </c>
      <c r="C44" t="s">
        <v>162</v>
      </c>
      <c r="D44" t="s">
        <v>280</v>
      </c>
    </row>
    <row r="45" spans="1:4" x14ac:dyDescent="0.25">
      <c r="A45">
        <v>184188301</v>
      </c>
      <c r="B45" t="s">
        <v>627</v>
      </c>
      <c r="C45" t="s">
        <v>628</v>
      </c>
      <c r="D45" t="s">
        <v>82</v>
      </c>
    </row>
    <row r="46" spans="1:4" x14ac:dyDescent="0.25">
      <c r="A46">
        <v>204035155</v>
      </c>
      <c r="B46" t="s">
        <v>506</v>
      </c>
      <c r="C46" t="s">
        <v>492</v>
      </c>
      <c r="D46" t="s">
        <v>280</v>
      </c>
    </row>
    <row r="47" spans="1:4" x14ac:dyDescent="0.25">
      <c r="A47">
        <v>19312190</v>
      </c>
      <c r="B47" t="s">
        <v>507</v>
      </c>
      <c r="C47" t="s">
        <v>161</v>
      </c>
      <c r="D47" t="s">
        <v>82</v>
      </c>
    </row>
    <row r="48" spans="1:4" x14ac:dyDescent="0.25">
      <c r="A48">
        <v>364818297</v>
      </c>
      <c r="B48" t="s">
        <v>508</v>
      </c>
      <c r="C48" t="s">
        <v>486</v>
      </c>
      <c r="D48" t="s">
        <v>280</v>
      </c>
    </row>
    <row r="49" spans="1:4" x14ac:dyDescent="0.25">
      <c r="A49">
        <v>750246141</v>
      </c>
      <c r="B49" t="s">
        <v>509</v>
      </c>
      <c r="C49" t="s">
        <v>160</v>
      </c>
      <c r="D49" t="s">
        <v>82</v>
      </c>
    </row>
    <row r="50" spans="1:4" x14ac:dyDescent="0.25">
      <c r="A50">
        <v>767955365</v>
      </c>
      <c r="B50" t="s">
        <v>629</v>
      </c>
      <c r="C50" t="s">
        <v>622</v>
      </c>
      <c r="D50" t="s">
        <v>82</v>
      </c>
    </row>
    <row r="51" spans="1:4" x14ac:dyDescent="0.25">
      <c r="A51">
        <v>584205124</v>
      </c>
      <c r="B51" t="s">
        <v>630</v>
      </c>
      <c r="C51" t="s">
        <v>631</v>
      </c>
      <c r="D51" t="s">
        <v>280</v>
      </c>
    </row>
    <row r="52" spans="1:4" x14ac:dyDescent="0.25">
      <c r="A52">
        <v>301435199</v>
      </c>
      <c r="B52" t="s">
        <v>510</v>
      </c>
      <c r="C52" t="s">
        <v>486</v>
      </c>
      <c r="D52" t="s">
        <v>82</v>
      </c>
    </row>
    <row r="53" spans="1:4" x14ac:dyDescent="0.25">
      <c r="A53">
        <v>878395493</v>
      </c>
      <c r="B53" t="s">
        <v>511</v>
      </c>
      <c r="C53" t="s">
        <v>486</v>
      </c>
      <c r="D53" t="s">
        <v>280</v>
      </c>
    </row>
    <row r="54" spans="1:4" x14ac:dyDescent="0.25">
      <c r="A54">
        <v>342607223</v>
      </c>
      <c r="B54" t="s">
        <v>512</v>
      </c>
      <c r="C54" t="s">
        <v>492</v>
      </c>
      <c r="D54" t="s">
        <v>280</v>
      </c>
    </row>
    <row r="55" spans="1:4" x14ac:dyDescent="0.25">
      <c r="A55">
        <v>693325305</v>
      </c>
      <c r="B55" t="s">
        <v>513</v>
      </c>
      <c r="C55" t="s">
        <v>160</v>
      </c>
      <c r="D55" t="s">
        <v>82</v>
      </c>
    </row>
    <row r="56" spans="1:4" x14ac:dyDescent="0.25">
      <c r="A56">
        <v>1300049</v>
      </c>
      <c r="B56" t="s">
        <v>514</v>
      </c>
      <c r="C56" t="s">
        <v>161</v>
      </c>
      <c r="D56" t="s">
        <v>82</v>
      </c>
    </row>
    <row r="57" spans="1:4" x14ac:dyDescent="0.25">
      <c r="A57">
        <v>886023130</v>
      </c>
      <c r="B57" t="s">
        <v>515</v>
      </c>
      <c r="C57" t="s">
        <v>162</v>
      </c>
      <c r="D57" t="s">
        <v>280</v>
      </c>
    </row>
    <row r="58" spans="1:4" x14ac:dyDescent="0.25">
      <c r="A58">
        <v>992874797</v>
      </c>
      <c r="B58" t="s">
        <v>516</v>
      </c>
      <c r="C58" t="s">
        <v>161</v>
      </c>
      <c r="D58" t="s">
        <v>82</v>
      </c>
    </row>
    <row r="59" spans="1:4" x14ac:dyDescent="0.25">
      <c r="A59">
        <v>259388196</v>
      </c>
      <c r="B59" t="s">
        <v>517</v>
      </c>
      <c r="C59" t="s">
        <v>486</v>
      </c>
      <c r="D59" t="s">
        <v>280</v>
      </c>
    </row>
    <row r="60" spans="1:4" x14ac:dyDescent="0.25">
      <c r="A60">
        <v>993310268</v>
      </c>
      <c r="B60" t="s">
        <v>518</v>
      </c>
      <c r="C60" t="s">
        <v>486</v>
      </c>
      <c r="D60" t="s">
        <v>280</v>
      </c>
    </row>
    <row r="61" spans="1:4" x14ac:dyDescent="0.25">
      <c r="A61">
        <v>551346974</v>
      </c>
      <c r="B61" t="s">
        <v>519</v>
      </c>
      <c r="C61" t="s">
        <v>486</v>
      </c>
      <c r="D61" t="s">
        <v>280</v>
      </c>
    </row>
    <row r="62" spans="1:4" x14ac:dyDescent="0.25">
      <c r="A62">
        <v>769680433</v>
      </c>
      <c r="B62" t="s">
        <v>520</v>
      </c>
      <c r="C62" t="s">
        <v>161</v>
      </c>
      <c r="D62" t="s">
        <v>280</v>
      </c>
    </row>
    <row r="63" spans="1:4" x14ac:dyDescent="0.25">
      <c r="A63">
        <v>981495526</v>
      </c>
      <c r="B63" t="s">
        <v>632</v>
      </c>
      <c r="C63" t="s">
        <v>592</v>
      </c>
      <c r="D63" t="s">
        <v>280</v>
      </c>
    </row>
    <row r="64" spans="1:4" x14ac:dyDescent="0.25">
      <c r="A64">
        <v>25011600</v>
      </c>
      <c r="B64" t="s">
        <v>521</v>
      </c>
      <c r="C64" t="s">
        <v>162</v>
      </c>
      <c r="D64" t="s">
        <v>82</v>
      </c>
    </row>
    <row r="65" spans="1:4" x14ac:dyDescent="0.25">
      <c r="A65">
        <v>152085091</v>
      </c>
      <c r="B65" t="s">
        <v>522</v>
      </c>
      <c r="C65" t="s">
        <v>492</v>
      </c>
      <c r="D65" t="s">
        <v>280</v>
      </c>
    </row>
    <row r="66" spans="1:4" x14ac:dyDescent="0.25">
      <c r="A66">
        <v>199546871</v>
      </c>
      <c r="B66" t="s">
        <v>523</v>
      </c>
      <c r="C66" t="s">
        <v>484</v>
      </c>
      <c r="D66" t="s">
        <v>280</v>
      </c>
    </row>
    <row r="67" spans="1:4" x14ac:dyDescent="0.25">
      <c r="A67">
        <v>754372876</v>
      </c>
      <c r="B67" t="s">
        <v>524</v>
      </c>
      <c r="C67" t="s">
        <v>160</v>
      </c>
      <c r="D67" t="s">
        <v>82</v>
      </c>
    </row>
    <row r="68" spans="1:4" x14ac:dyDescent="0.25">
      <c r="A68">
        <v>243322160</v>
      </c>
      <c r="B68" t="s">
        <v>633</v>
      </c>
      <c r="C68" t="s">
        <v>622</v>
      </c>
      <c r="D68" t="s">
        <v>280</v>
      </c>
    </row>
    <row r="69" spans="1:4" x14ac:dyDescent="0.25">
      <c r="A69">
        <v>500412746</v>
      </c>
      <c r="B69" t="s">
        <v>525</v>
      </c>
      <c r="C69" t="s">
        <v>160</v>
      </c>
      <c r="D69" t="s">
        <v>280</v>
      </c>
    </row>
    <row r="70" spans="1:4" x14ac:dyDescent="0.25">
      <c r="A70">
        <v>621209647</v>
      </c>
      <c r="B70" t="s">
        <v>634</v>
      </c>
      <c r="C70" t="s">
        <v>592</v>
      </c>
      <c r="D70" t="s">
        <v>280</v>
      </c>
    </row>
    <row r="71" spans="1:4" x14ac:dyDescent="0.25">
      <c r="A71">
        <v>319472946</v>
      </c>
      <c r="B71" t="s">
        <v>635</v>
      </c>
      <c r="C71" t="s">
        <v>615</v>
      </c>
      <c r="D71" t="s">
        <v>280</v>
      </c>
    </row>
    <row r="72" spans="1:4" x14ac:dyDescent="0.25">
      <c r="A72">
        <v>345106466</v>
      </c>
      <c r="B72" t="s">
        <v>636</v>
      </c>
      <c r="C72" t="s">
        <v>637</v>
      </c>
      <c r="D72" t="s">
        <v>280</v>
      </c>
    </row>
  </sheetData>
  <sheetProtection algorithmName="SHA-512" hashValue="avnQqmKCw4de6JUxKKbRKOHL2csJbumQKg/WGM2XGCsz2zDATv8BjxBLuOeVXTWfJJGE3ZYew8D0PNHM9hQECQ==" saltValue="/TT9kx7LQKGVNiP2IQbR1A==" spinCount="100000" sheet="1" objects="1" scenarios="1"/>
  <mergeCells count="1">
    <mergeCell ref="A2:D2"/>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BC4D0-A219-4AD0-8518-5078DF18FEC8}">
  <sheetPr codeName="Sheet18"/>
  <dimension ref="A1:K45"/>
  <sheetViews>
    <sheetView workbookViewId="0">
      <selection activeCell="A3" sqref="A3"/>
    </sheetView>
  </sheetViews>
  <sheetFormatPr defaultRowHeight="15" x14ac:dyDescent="0.25"/>
  <sheetData>
    <row r="1" spans="1:11" x14ac:dyDescent="0.25">
      <c r="C1" t="s">
        <v>175</v>
      </c>
      <c r="D1">
        <v>10</v>
      </c>
    </row>
    <row r="2" spans="1:11" x14ac:dyDescent="0.25">
      <c r="A2" cm="1">
        <f t="array" ref="A2">gradeGenericQuestionRange("Text",A5:D45,D1,Question6!A5:D45)</f>
        <v>1.7073163986206055</v>
      </c>
      <c r="E2" s="90"/>
      <c r="F2" s="90" t="s">
        <v>281</v>
      </c>
    </row>
    <row r="3" spans="1:11" x14ac:dyDescent="0.25">
      <c r="E3" s="95"/>
      <c r="F3" s="90" t="s">
        <v>176</v>
      </c>
    </row>
    <row r="4" spans="1:11" x14ac:dyDescent="0.25">
      <c r="E4" s="90"/>
      <c r="F4" s="90" t="s">
        <v>529</v>
      </c>
    </row>
    <row r="5" spans="1:11" x14ac:dyDescent="0.25">
      <c r="A5" t="s">
        <v>285</v>
      </c>
      <c r="B5" t="s">
        <v>170</v>
      </c>
      <c r="C5" t="s">
        <v>171</v>
      </c>
      <c r="D5" t="s">
        <v>286</v>
      </c>
      <c r="E5" s="90"/>
      <c r="F5" s="90" t="s">
        <v>282</v>
      </c>
    </row>
    <row r="6" spans="1:11" x14ac:dyDescent="0.25">
      <c r="A6">
        <v>377784364</v>
      </c>
      <c r="B6" t="s">
        <v>483</v>
      </c>
      <c r="C6" t="s">
        <v>484</v>
      </c>
      <c r="D6" t="s">
        <v>280</v>
      </c>
      <c r="F6" s="90" t="s">
        <v>283</v>
      </c>
    </row>
    <row r="7" spans="1:11" x14ac:dyDescent="0.25">
      <c r="A7">
        <v>764853868</v>
      </c>
      <c r="B7" t="s">
        <v>485</v>
      </c>
      <c r="C7" t="s">
        <v>486</v>
      </c>
      <c r="D7" t="s">
        <v>280</v>
      </c>
      <c r="F7" s="90" t="s">
        <v>284</v>
      </c>
    </row>
    <row r="8" spans="1:11" x14ac:dyDescent="0.25">
      <c r="A8">
        <v>969985265</v>
      </c>
      <c r="B8" t="s">
        <v>487</v>
      </c>
      <c r="C8" t="s">
        <v>162</v>
      </c>
      <c r="D8" t="s">
        <v>82</v>
      </c>
    </row>
    <row r="9" spans="1:11" x14ac:dyDescent="0.25">
      <c r="A9">
        <v>999440576</v>
      </c>
      <c r="B9" t="s">
        <v>488</v>
      </c>
      <c r="C9" t="s">
        <v>160</v>
      </c>
      <c r="D9" t="s">
        <v>280</v>
      </c>
    </row>
    <row r="10" spans="1:11" x14ac:dyDescent="0.25">
      <c r="A10">
        <v>410742000</v>
      </c>
      <c r="B10" t="s">
        <v>489</v>
      </c>
      <c r="C10" t="s">
        <v>160</v>
      </c>
      <c r="D10" t="s">
        <v>82</v>
      </c>
    </row>
    <row r="11" spans="1:11" x14ac:dyDescent="0.25">
      <c r="A11">
        <v>227319668</v>
      </c>
      <c r="B11" t="s">
        <v>490</v>
      </c>
      <c r="C11" t="s">
        <v>486</v>
      </c>
      <c r="D11" t="s">
        <v>82</v>
      </c>
    </row>
    <row r="12" spans="1:11" x14ac:dyDescent="0.25">
      <c r="A12">
        <v>599942664</v>
      </c>
      <c r="B12" t="s">
        <v>491</v>
      </c>
      <c r="C12" t="s">
        <v>492</v>
      </c>
      <c r="D12" t="s">
        <v>280</v>
      </c>
    </row>
    <row r="13" spans="1:11" x14ac:dyDescent="0.25">
      <c r="A13">
        <v>539490372</v>
      </c>
      <c r="B13" t="s">
        <v>493</v>
      </c>
      <c r="C13" t="s">
        <v>484</v>
      </c>
      <c r="D13" t="s">
        <v>280</v>
      </c>
    </row>
    <row r="14" spans="1:11" x14ac:dyDescent="0.25">
      <c r="A14">
        <v>860123571</v>
      </c>
      <c r="B14" t="s">
        <v>494</v>
      </c>
      <c r="C14" t="s">
        <v>486</v>
      </c>
      <c r="D14" t="s">
        <v>280</v>
      </c>
      <c r="I14" t="s">
        <v>528</v>
      </c>
      <c r="K14" t="s">
        <v>527</v>
      </c>
    </row>
    <row r="15" spans="1:11" x14ac:dyDescent="0.25">
      <c r="A15">
        <v>652535724</v>
      </c>
      <c r="B15" t="s">
        <v>495</v>
      </c>
      <c r="C15" t="s">
        <v>492</v>
      </c>
      <c r="D15" t="s">
        <v>82</v>
      </c>
    </row>
    <row r="16" spans="1:11" x14ac:dyDescent="0.25">
      <c r="A16">
        <v>222400012</v>
      </c>
      <c r="B16" t="s">
        <v>496</v>
      </c>
      <c r="C16" t="s">
        <v>492</v>
      </c>
      <c r="D16" t="s">
        <v>280</v>
      </c>
    </row>
    <row r="17" spans="1:4" x14ac:dyDescent="0.25">
      <c r="A17">
        <v>912141525</v>
      </c>
      <c r="B17" t="s">
        <v>497</v>
      </c>
      <c r="C17" t="s">
        <v>492</v>
      </c>
      <c r="D17" t="s">
        <v>82</v>
      </c>
    </row>
    <row r="18" spans="1:4" x14ac:dyDescent="0.25">
      <c r="A18">
        <v>749211824</v>
      </c>
      <c r="B18" t="s">
        <v>498</v>
      </c>
      <c r="C18" t="s">
        <v>161</v>
      </c>
      <c r="D18" t="s">
        <v>280</v>
      </c>
    </row>
    <row r="19" spans="1:4" x14ac:dyDescent="0.25">
      <c r="A19">
        <v>440379437</v>
      </c>
      <c r="B19" t="s">
        <v>499</v>
      </c>
      <c r="C19" t="s">
        <v>161</v>
      </c>
      <c r="D19" t="s">
        <v>280</v>
      </c>
    </row>
    <row r="20" spans="1:4" x14ac:dyDescent="0.25">
      <c r="A20">
        <v>153288994</v>
      </c>
      <c r="B20" t="s">
        <v>500</v>
      </c>
      <c r="C20" t="s">
        <v>492</v>
      </c>
      <c r="D20" t="s">
        <v>280</v>
      </c>
    </row>
    <row r="21" spans="1:4" x14ac:dyDescent="0.25">
      <c r="A21">
        <v>305522471</v>
      </c>
      <c r="B21" t="s">
        <v>501</v>
      </c>
      <c r="C21" t="s">
        <v>162</v>
      </c>
      <c r="D21" t="s">
        <v>280</v>
      </c>
    </row>
    <row r="22" spans="1:4" x14ac:dyDescent="0.25">
      <c r="A22">
        <v>788456780</v>
      </c>
      <c r="B22" t="s">
        <v>502</v>
      </c>
      <c r="C22" t="s">
        <v>160</v>
      </c>
      <c r="D22" t="s">
        <v>280</v>
      </c>
    </row>
    <row r="23" spans="1:4" x14ac:dyDescent="0.25">
      <c r="A23">
        <v>167554340</v>
      </c>
      <c r="B23" t="s">
        <v>503</v>
      </c>
      <c r="C23" t="s">
        <v>484</v>
      </c>
      <c r="D23" t="s">
        <v>82</v>
      </c>
    </row>
    <row r="24" spans="1:4" x14ac:dyDescent="0.25">
      <c r="A24">
        <v>693168613</v>
      </c>
      <c r="B24" t="s">
        <v>504</v>
      </c>
      <c r="C24" t="s">
        <v>161</v>
      </c>
      <c r="D24" t="s">
        <v>280</v>
      </c>
    </row>
    <row r="25" spans="1:4" x14ac:dyDescent="0.25">
      <c r="A25">
        <v>322160340</v>
      </c>
      <c r="B25" t="s">
        <v>505</v>
      </c>
      <c r="C25" t="s">
        <v>162</v>
      </c>
      <c r="D25" t="s">
        <v>280</v>
      </c>
    </row>
    <row r="26" spans="1:4" x14ac:dyDescent="0.25">
      <c r="A26">
        <v>204035155</v>
      </c>
      <c r="B26" t="s">
        <v>506</v>
      </c>
      <c r="C26" t="s">
        <v>492</v>
      </c>
      <c r="D26" t="s">
        <v>280</v>
      </c>
    </row>
    <row r="27" spans="1:4" x14ac:dyDescent="0.25">
      <c r="A27">
        <v>19312190</v>
      </c>
      <c r="B27" t="s">
        <v>507</v>
      </c>
      <c r="C27" t="s">
        <v>161</v>
      </c>
      <c r="D27" t="s">
        <v>82</v>
      </c>
    </row>
    <row r="28" spans="1:4" x14ac:dyDescent="0.25">
      <c r="A28">
        <v>364818297</v>
      </c>
      <c r="B28" t="s">
        <v>508</v>
      </c>
      <c r="C28" t="s">
        <v>486</v>
      </c>
      <c r="D28" t="s">
        <v>280</v>
      </c>
    </row>
    <row r="29" spans="1:4" x14ac:dyDescent="0.25">
      <c r="A29">
        <v>750246141</v>
      </c>
      <c r="B29" t="s">
        <v>509</v>
      </c>
      <c r="C29" t="s">
        <v>160</v>
      </c>
      <c r="D29" t="s">
        <v>82</v>
      </c>
    </row>
    <row r="30" spans="1:4" x14ac:dyDescent="0.25">
      <c r="A30">
        <v>301435199</v>
      </c>
      <c r="B30" t="s">
        <v>510</v>
      </c>
      <c r="C30" t="s">
        <v>486</v>
      </c>
      <c r="D30" t="s">
        <v>82</v>
      </c>
    </row>
    <row r="31" spans="1:4" x14ac:dyDescent="0.25">
      <c r="A31">
        <v>878395493</v>
      </c>
      <c r="B31" t="s">
        <v>511</v>
      </c>
      <c r="C31" t="s">
        <v>486</v>
      </c>
      <c r="D31" t="s">
        <v>280</v>
      </c>
    </row>
    <row r="32" spans="1:4" x14ac:dyDescent="0.25">
      <c r="A32">
        <v>342607223</v>
      </c>
      <c r="B32" t="s">
        <v>512</v>
      </c>
      <c r="C32" t="s">
        <v>492</v>
      </c>
      <c r="D32" t="s">
        <v>280</v>
      </c>
    </row>
    <row r="33" spans="1:4" x14ac:dyDescent="0.25">
      <c r="A33">
        <v>693325305</v>
      </c>
      <c r="B33" t="s">
        <v>513</v>
      </c>
      <c r="C33" t="s">
        <v>160</v>
      </c>
      <c r="D33" t="s">
        <v>82</v>
      </c>
    </row>
    <row r="34" spans="1:4" x14ac:dyDescent="0.25">
      <c r="A34">
        <v>1300049</v>
      </c>
      <c r="B34" t="s">
        <v>514</v>
      </c>
      <c r="C34" t="s">
        <v>161</v>
      </c>
      <c r="D34" t="s">
        <v>82</v>
      </c>
    </row>
    <row r="35" spans="1:4" x14ac:dyDescent="0.25">
      <c r="A35">
        <v>886023130</v>
      </c>
      <c r="B35" t="s">
        <v>515</v>
      </c>
      <c r="C35" t="s">
        <v>162</v>
      </c>
      <c r="D35" t="s">
        <v>280</v>
      </c>
    </row>
    <row r="36" spans="1:4" x14ac:dyDescent="0.25">
      <c r="A36">
        <v>992874797</v>
      </c>
      <c r="B36" t="s">
        <v>516</v>
      </c>
      <c r="C36" t="s">
        <v>161</v>
      </c>
      <c r="D36" t="s">
        <v>82</v>
      </c>
    </row>
    <row r="37" spans="1:4" x14ac:dyDescent="0.25">
      <c r="A37">
        <v>259388196</v>
      </c>
      <c r="B37" t="s">
        <v>517</v>
      </c>
      <c r="C37" t="s">
        <v>486</v>
      </c>
      <c r="D37" t="s">
        <v>280</v>
      </c>
    </row>
    <row r="38" spans="1:4" x14ac:dyDescent="0.25">
      <c r="A38">
        <v>993310268</v>
      </c>
      <c r="B38" t="s">
        <v>518</v>
      </c>
      <c r="C38" t="s">
        <v>486</v>
      </c>
      <c r="D38" t="s">
        <v>280</v>
      </c>
    </row>
    <row r="39" spans="1:4" x14ac:dyDescent="0.25">
      <c r="A39">
        <v>551346974</v>
      </c>
      <c r="B39" t="s">
        <v>519</v>
      </c>
      <c r="C39" t="s">
        <v>486</v>
      </c>
      <c r="D39" t="s">
        <v>280</v>
      </c>
    </row>
    <row r="40" spans="1:4" x14ac:dyDescent="0.25">
      <c r="A40">
        <v>769680433</v>
      </c>
      <c r="B40" t="s">
        <v>520</v>
      </c>
      <c r="C40" t="s">
        <v>161</v>
      </c>
      <c r="D40" t="s">
        <v>280</v>
      </c>
    </row>
    <row r="41" spans="1:4" x14ac:dyDescent="0.25">
      <c r="A41">
        <v>25011600</v>
      </c>
      <c r="B41" t="s">
        <v>521</v>
      </c>
      <c r="C41" t="s">
        <v>162</v>
      </c>
      <c r="D41" t="s">
        <v>82</v>
      </c>
    </row>
    <row r="42" spans="1:4" x14ac:dyDescent="0.25">
      <c r="A42">
        <v>152085091</v>
      </c>
      <c r="B42" t="s">
        <v>522</v>
      </c>
      <c r="C42" t="s">
        <v>492</v>
      </c>
      <c r="D42" t="s">
        <v>280</v>
      </c>
    </row>
    <row r="43" spans="1:4" x14ac:dyDescent="0.25">
      <c r="A43">
        <v>199546871</v>
      </c>
      <c r="B43" t="s">
        <v>523</v>
      </c>
      <c r="C43" t="s">
        <v>484</v>
      </c>
      <c r="D43" t="s">
        <v>280</v>
      </c>
    </row>
    <row r="44" spans="1:4" x14ac:dyDescent="0.25">
      <c r="A44">
        <v>754372876</v>
      </c>
      <c r="B44" t="s">
        <v>524</v>
      </c>
      <c r="C44" t="s">
        <v>160</v>
      </c>
      <c r="D44" t="s">
        <v>82</v>
      </c>
    </row>
    <row r="45" spans="1:4" x14ac:dyDescent="0.25">
      <c r="A45">
        <v>500412746</v>
      </c>
      <c r="B45" t="s">
        <v>525</v>
      </c>
      <c r="C45" t="s">
        <v>160</v>
      </c>
      <c r="D45" t="s">
        <v>280</v>
      </c>
    </row>
  </sheetData>
  <sheetProtection algorithmName="SHA-512" hashValue="9DtCpZUKQklcwJUojVvfACWJFxl1XB8pcZRW8fEn4gmJq6w/1n+2hn5InWgjgzKYPI9l/3gMg0IJCCF/kGUesQ==" saltValue="KOYwEQ9+p3hFkys0AXK+4Q==" spinCount="100000"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70626-E343-43CF-8916-879AB8BF3AF5}">
  <sheetPr codeName="Sheet20"/>
  <dimension ref="A1:H58"/>
  <sheetViews>
    <sheetView workbookViewId="0">
      <selection activeCell="C14" sqref="C14"/>
    </sheetView>
  </sheetViews>
  <sheetFormatPr defaultRowHeight="15" x14ac:dyDescent="0.25"/>
  <cols>
    <col min="1" max="1" width="15.7109375" customWidth="1"/>
    <col min="2" max="2" width="34.42578125" customWidth="1"/>
  </cols>
  <sheetData>
    <row r="1" spans="1:8" x14ac:dyDescent="0.25">
      <c r="A1" s="87" t="s">
        <v>178</v>
      </c>
      <c r="B1" s="87">
        <f>Answer7!D1</f>
        <v>10</v>
      </c>
      <c r="C1" s="87" t="s">
        <v>175</v>
      </c>
      <c r="D1" t="s">
        <v>177</v>
      </c>
    </row>
    <row r="2" spans="1:8" ht="80.45" customHeight="1" x14ac:dyDescent="0.25">
      <c r="A2" s="132" t="s">
        <v>536</v>
      </c>
      <c r="B2" s="133"/>
      <c r="C2" s="133"/>
      <c r="D2" s="133"/>
      <c r="E2" s="133"/>
      <c r="F2" s="133"/>
    </row>
    <row r="3" spans="1:8" ht="15.75" x14ac:dyDescent="0.25">
      <c r="A3" s="89" t="s">
        <v>173</v>
      </c>
    </row>
    <row r="5" spans="1:8" x14ac:dyDescent="0.25">
      <c r="A5" s="120" t="s">
        <v>253</v>
      </c>
      <c r="B5" s="86"/>
      <c r="C5" s="86"/>
    </row>
    <row r="6" spans="1:8" x14ac:dyDescent="0.25">
      <c r="A6" s="120">
        <v>51090</v>
      </c>
      <c r="B6" s="86"/>
      <c r="C6" s="86"/>
      <c r="H6" s="119" t="s">
        <v>649</v>
      </c>
    </row>
    <row r="7" spans="1:8" x14ac:dyDescent="0.25">
      <c r="A7" s="120">
        <v>51109</v>
      </c>
      <c r="B7" s="86"/>
      <c r="C7" s="86"/>
      <c r="H7" s="119" t="s">
        <v>650</v>
      </c>
    </row>
    <row r="8" spans="1:8" x14ac:dyDescent="0.25">
      <c r="A8" s="122">
        <v>51120</v>
      </c>
      <c r="H8" s="119" t="s">
        <v>651</v>
      </c>
    </row>
    <row r="9" spans="1:8" x14ac:dyDescent="0.25">
      <c r="A9" s="121">
        <v>51126</v>
      </c>
      <c r="H9" s="119" t="s">
        <v>290</v>
      </c>
    </row>
    <row r="10" spans="1:8" x14ac:dyDescent="0.25">
      <c r="A10" s="121">
        <v>51126</v>
      </c>
      <c r="H10" s="119" t="s">
        <v>649</v>
      </c>
    </row>
    <row r="11" spans="1:8" x14ac:dyDescent="0.25">
      <c r="A11" s="121">
        <v>51126</v>
      </c>
      <c r="H11" s="119" t="s">
        <v>650</v>
      </c>
    </row>
    <row r="12" spans="1:8" x14ac:dyDescent="0.25">
      <c r="A12" s="121">
        <v>51126</v>
      </c>
      <c r="H12" s="119" t="s">
        <v>652</v>
      </c>
    </row>
    <row r="13" spans="1:8" x14ac:dyDescent="0.25">
      <c r="A13">
        <v>51157</v>
      </c>
      <c r="H13" s="119" t="s">
        <v>579</v>
      </c>
    </row>
    <row r="14" spans="1:8" x14ac:dyDescent="0.25">
      <c r="A14">
        <v>51160</v>
      </c>
    </row>
    <row r="15" spans="1:8" x14ac:dyDescent="0.25">
      <c r="A15">
        <v>51169</v>
      </c>
    </row>
    <row r="16" spans="1:8" x14ac:dyDescent="0.25">
      <c r="A16">
        <v>51721</v>
      </c>
    </row>
    <row r="17" spans="1:1" x14ac:dyDescent="0.25">
      <c r="A17">
        <v>51735</v>
      </c>
    </row>
    <row r="18" spans="1:1" x14ac:dyDescent="0.25">
      <c r="A18">
        <v>51739</v>
      </c>
    </row>
    <row r="19" spans="1:1" x14ac:dyDescent="0.25">
      <c r="A19">
        <v>51751</v>
      </c>
    </row>
    <row r="20" spans="1:1" x14ac:dyDescent="0.25">
      <c r="A20">
        <v>51760</v>
      </c>
    </row>
    <row r="21" spans="1:1" x14ac:dyDescent="0.25">
      <c r="A21">
        <v>51761</v>
      </c>
    </row>
    <row r="22" spans="1:1" x14ac:dyDescent="0.25">
      <c r="A22">
        <v>51774</v>
      </c>
    </row>
    <row r="23" spans="1:1" x14ac:dyDescent="0.25">
      <c r="A23">
        <v>51789</v>
      </c>
    </row>
    <row r="24" spans="1:1" x14ac:dyDescent="0.25">
      <c r="A24">
        <v>51823</v>
      </c>
    </row>
    <row r="25" spans="1:1" x14ac:dyDescent="0.25">
      <c r="A25">
        <v>51825</v>
      </c>
    </row>
    <row r="26" spans="1:1" x14ac:dyDescent="0.25">
      <c r="A26">
        <v>51837</v>
      </c>
    </row>
    <row r="27" spans="1:1" x14ac:dyDescent="0.25">
      <c r="A27">
        <v>51858</v>
      </c>
    </row>
    <row r="28" spans="1:1" x14ac:dyDescent="0.25">
      <c r="A28">
        <v>51875</v>
      </c>
    </row>
    <row r="29" spans="1:1" x14ac:dyDescent="0.25">
      <c r="A29">
        <v>53458</v>
      </c>
    </row>
    <row r="30" spans="1:1" x14ac:dyDescent="0.25">
      <c r="A30">
        <v>53465</v>
      </c>
    </row>
    <row r="31" spans="1:1" x14ac:dyDescent="0.25">
      <c r="A31">
        <v>53470</v>
      </c>
    </row>
    <row r="32" spans="1:1" x14ac:dyDescent="0.25">
      <c r="A32">
        <v>53483</v>
      </c>
    </row>
    <row r="33" spans="1:1" x14ac:dyDescent="0.25">
      <c r="A33">
        <v>53500</v>
      </c>
    </row>
    <row r="34" spans="1:1" x14ac:dyDescent="0.25">
      <c r="A34">
        <v>53508</v>
      </c>
    </row>
    <row r="35" spans="1:1" x14ac:dyDescent="0.25">
      <c r="A35">
        <v>53513</v>
      </c>
    </row>
    <row r="36" spans="1:1" x14ac:dyDescent="0.25">
      <c r="A36">
        <v>53520</v>
      </c>
    </row>
    <row r="37" spans="1:1" x14ac:dyDescent="0.25">
      <c r="A37">
        <v>53524</v>
      </c>
    </row>
    <row r="38" spans="1:1" x14ac:dyDescent="0.25">
      <c r="A38">
        <v>53535</v>
      </c>
    </row>
    <row r="39" spans="1:1" x14ac:dyDescent="0.25">
      <c r="A39">
        <v>53536</v>
      </c>
    </row>
    <row r="40" spans="1:1" x14ac:dyDescent="0.25">
      <c r="A40">
        <v>53551</v>
      </c>
    </row>
    <row r="41" spans="1:1" x14ac:dyDescent="0.25">
      <c r="A41">
        <v>53560</v>
      </c>
    </row>
    <row r="42" spans="1:1" x14ac:dyDescent="0.25">
      <c r="A42">
        <v>53590</v>
      </c>
    </row>
    <row r="43" spans="1:1" x14ac:dyDescent="0.25">
      <c r="A43">
        <v>55276</v>
      </c>
    </row>
    <row r="44" spans="1:1" x14ac:dyDescent="0.25">
      <c r="A44">
        <v>55282</v>
      </c>
    </row>
    <row r="45" spans="1:1" x14ac:dyDescent="0.25">
      <c r="A45">
        <v>57012</v>
      </c>
    </row>
    <row r="46" spans="1:1" x14ac:dyDescent="0.25">
      <c r="A46">
        <v>57054</v>
      </c>
    </row>
    <row r="47" spans="1:1" x14ac:dyDescent="0.25">
      <c r="A47">
        <v>57130</v>
      </c>
    </row>
    <row r="48" spans="1:1" x14ac:dyDescent="0.25">
      <c r="A48">
        <v>57143</v>
      </c>
    </row>
    <row r="49" spans="1:1" x14ac:dyDescent="0.25">
      <c r="A49">
        <v>58958</v>
      </c>
    </row>
    <row r="50" spans="1:1" x14ac:dyDescent="0.25">
      <c r="A50">
        <v>58980</v>
      </c>
    </row>
    <row r="51" spans="1:1" x14ac:dyDescent="0.25">
      <c r="A51">
        <v>69433</v>
      </c>
    </row>
    <row r="52" spans="1:1" x14ac:dyDescent="0.25">
      <c r="A52">
        <v>69449</v>
      </c>
    </row>
    <row r="53" spans="1:1" x14ac:dyDescent="0.25">
      <c r="A53">
        <v>69521</v>
      </c>
    </row>
    <row r="54" spans="1:1" x14ac:dyDescent="0.25">
      <c r="A54">
        <v>69535</v>
      </c>
    </row>
    <row r="55" spans="1:1" x14ac:dyDescent="0.25">
      <c r="A55">
        <v>69558</v>
      </c>
    </row>
    <row r="56" spans="1:1" x14ac:dyDescent="0.25">
      <c r="A56">
        <v>71818</v>
      </c>
    </row>
    <row r="57" spans="1:1" x14ac:dyDescent="0.25">
      <c r="A57">
        <v>71830</v>
      </c>
    </row>
    <row r="58" spans="1:1" x14ac:dyDescent="0.25">
      <c r="A58">
        <v>71847</v>
      </c>
    </row>
  </sheetData>
  <sheetProtection algorithmName="SHA-512" hashValue="eFCA4uMT+rQEuflmzPVTjOJVqe1D09+KPK0R4zy/IjnAMpGRwp2lpSM5RR1y0WFmIoHx6ua9HttAhFE4D9gWTA==" saltValue="zdYF3XZQH+/tZp5ZUZrxIA==" spinCount="100000" sheet="1" objects="1" scenarios="1"/>
  <mergeCells count="1">
    <mergeCell ref="A2:F2"/>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A2C3C-34CC-4E72-8D18-B4CDF462358D}">
  <sheetPr codeName="Sheet19"/>
  <dimension ref="A1:P58"/>
  <sheetViews>
    <sheetView topLeftCell="A10" workbookViewId="0">
      <selection activeCell="A3" sqref="A3"/>
    </sheetView>
  </sheetViews>
  <sheetFormatPr defaultRowHeight="15" x14ac:dyDescent="0.25"/>
  <sheetData>
    <row r="1" spans="1:16" x14ac:dyDescent="0.25">
      <c r="C1" t="s">
        <v>175</v>
      </c>
      <c r="D1">
        <v>10</v>
      </c>
    </row>
    <row r="2" spans="1:16" x14ac:dyDescent="0.25">
      <c r="A2" cm="1">
        <f t="array" ref="A2">gradeGenericQuestionRange("Text",A5:A58,D1,Question7!A5:A58)</f>
        <v>9.4444408416748047</v>
      </c>
      <c r="J2" s="94" t="s">
        <v>287</v>
      </c>
    </row>
    <row r="3" spans="1:16" x14ac:dyDescent="0.25">
      <c r="J3" s="94" t="s">
        <v>288</v>
      </c>
    </row>
    <row r="4" spans="1:16" x14ac:dyDescent="0.25">
      <c r="J4" s="94" t="s">
        <v>532</v>
      </c>
    </row>
    <row r="5" spans="1:16" x14ac:dyDescent="0.25">
      <c r="A5" t="s">
        <v>253</v>
      </c>
      <c r="J5" s="90" t="s">
        <v>290</v>
      </c>
    </row>
    <row r="6" spans="1:16" x14ac:dyDescent="0.25">
      <c r="A6">
        <v>51090</v>
      </c>
      <c r="J6" s="94" t="s">
        <v>287</v>
      </c>
    </row>
    <row r="7" spans="1:16" x14ac:dyDescent="0.25">
      <c r="A7">
        <v>51109</v>
      </c>
      <c r="J7" s="94" t="s">
        <v>288</v>
      </c>
    </row>
    <row r="8" spans="1:16" x14ac:dyDescent="0.25">
      <c r="A8">
        <v>51120</v>
      </c>
      <c r="J8" s="94" t="s">
        <v>533</v>
      </c>
    </row>
    <row r="9" spans="1:16" x14ac:dyDescent="0.25">
      <c r="A9">
        <v>51126</v>
      </c>
      <c r="J9" s="90" t="s">
        <v>292</v>
      </c>
    </row>
    <row r="10" spans="1:16" x14ac:dyDescent="0.25">
      <c r="A10">
        <v>51131</v>
      </c>
    </row>
    <row r="11" spans="1:16" x14ac:dyDescent="0.25">
      <c r="A11">
        <v>51138</v>
      </c>
    </row>
    <row r="12" spans="1:16" x14ac:dyDescent="0.25">
      <c r="A12">
        <v>51146</v>
      </c>
    </row>
    <row r="13" spans="1:16" x14ac:dyDescent="0.25">
      <c r="A13">
        <v>51157</v>
      </c>
    </row>
    <row r="14" spans="1:16" x14ac:dyDescent="0.25">
      <c r="A14">
        <v>51160</v>
      </c>
      <c r="P14" s="94" t="s">
        <v>287</v>
      </c>
    </row>
    <row r="15" spans="1:16" x14ac:dyDescent="0.25">
      <c r="A15">
        <v>51169</v>
      </c>
      <c r="P15" s="94" t="s">
        <v>288</v>
      </c>
    </row>
    <row r="16" spans="1:16" x14ac:dyDescent="0.25">
      <c r="A16">
        <v>51721</v>
      </c>
      <c r="P16" s="94" t="s">
        <v>289</v>
      </c>
    </row>
    <row r="17" spans="1:16" x14ac:dyDescent="0.25">
      <c r="A17">
        <v>51735</v>
      </c>
      <c r="K17" t="s">
        <v>531</v>
      </c>
      <c r="P17" s="90" t="s">
        <v>290</v>
      </c>
    </row>
    <row r="18" spans="1:16" x14ac:dyDescent="0.25">
      <c r="A18">
        <v>51739</v>
      </c>
      <c r="P18" s="94" t="s">
        <v>287</v>
      </c>
    </row>
    <row r="19" spans="1:16" x14ac:dyDescent="0.25">
      <c r="A19">
        <v>51751</v>
      </c>
      <c r="P19" s="94" t="s">
        <v>288</v>
      </c>
    </row>
    <row r="20" spans="1:16" x14ac:dyDescent="0.25">
      <c r="A20">
        <v>51760</v>
      </c>
      <c r="P20" s="94" t="s">
        <v>291</v>
      </c>
    </row>
    <row r="21" spans="1:16" x14ac:dyDescent="0.25">
      <c r="A21">
        <v>51761</v>
      </c>
      <c r="P21" s="90" t="s">
        <v>292</v>
      </c>
    </row>
    <row r="22" spans="1:16" x14ac:dyDescent="0.25">
      <c r="A22">
        <v>51774</v>
      </c>
    </row>
    <row r="23" spans="1:16" x14ac:dyDescent="0.25">
      <c r="A23">
        <v>51789</v>
      </c>
    </row>
    <row r="24" spans="1:16" x14ac:dyDescent="0.25">
      <c r="A24">
        <v>51823</v>
      </c>
    </row>
    <row r="25" spans="1:16" x14ac:dyDescent="0.25">
      <c r="A25">
        <v>51825</v>
      </c>
    </row>
    <row r="26" spans="1:16" x14ac:dyDescent="0.25">
      <c r="A26">
        <v>51837</v>
      </c>
    </row>
    <row r="27" spans="1:16" x14ac:dyDescent="0.25">
      <c r="A27">
        <v>51858</v>
      </c>
    </row>
    <row r="28" spans="1:16" x14ac:dyDescent="0.25">
      <c r="A28">
        <v>51875</v>
      </c>
    </row>
    <row r="29" spans="1:16" x14ac:dyDescent="0.25">
      <c r="A29">
        <v>53458</v>
      </c>
    </row>
    <row r="30" spans="1:16" x14ac:dyDescent="0.25">
      <c r="A30">
        <v>53465</v>
      </c>
    </row>
    <row r="31" spans="1:16" x14ac:dyDescent="0.25">
      <c r="A31">
        <v>53470</v>
      </c>
    </row>
    <row r="32" spans="1:16" x14ac:dyDescent="0.25">
      <c r="A32">
        <v>53483</v>
      </c>
    </row>
    <row r="33" spans="1:1" x14ac:dyDescent="0.25">
      <c r="A33">
        <v>53500</v>
      </c>
    </row>
    <row r="34" spans="1:1" x14ac:dyDescent="0.25">
      <c r="A34">
        <v>53508</v>
      </c>
    </row>
    <row r="35" spans="1:1" x14ac:dyDescent="0.25">
      <c r="A35">
        <v>53513</v>
      </c>
    </row>
    <row r="36" spans="1:1" x14ac:dyDescent="0.25">
      <c r="A36">
        <v>53520</v>
      </c>
    </row>
    <row r="37" spans="1:1" x14ac:dyDescent="0.25">
      <c r="A37">
        <v>53524</v>
      </c>
    </row>
    <row r="38" spans="1:1" x14ac:dyDescent="0.25">
      <c r="A38">
        <v>53535</v>
      </c>
    </row>
    <row r="39" spans="1:1" x14ac:dyDescent="0.25">
      <c r="A39">
        <v>53536</v>
      </c>
    </row>
    <row r="40" spans="1:1" x14ac:dyDescent="0.25">
      <c r="A40">
        <v>53551</v>
      </c>
    </row>
    <row r="41" spans="1:1" x14ac:dyDescent="0.25">
      <c r="A41">
        <v>53560</v>
      </c>
    </row>
    <row r="42" spans="1:1" x14ac:dyDescent="0.25">
      <c r="A42">
        <v>53590</v>
      </c>
    </row>
    <row r="43" spans="1:1" x14ac:dyDescent="0.25">
      <c r="A43">
        <v>55276</v>
      </c>
    </row>
    <row r="44" spans="1:1" x14ac:dyDescent="0.25">
      <c r="A44">
        <v>55282</v>
      </c>
    </row>
    <row r="45" spans="1:1" x14ac:dyDescent="0.25">
      <c r="A45">
        <v>57012</v>
      </c>
    </row>
    <row r="46" spans="1:1" x14ac:dyDescent="0.25">
      <c r="A46">
        <v>57054</v>
      </c>
    </row>
    <row r="47" spans="1:1" x14ac:dyDescent="0.25">
      <c r="A47">
        <v>57130</v>
      </c>
    </row>
    <row r="48" spans="1:1" x14ac:dyDescent="0.25">
      <c r="A48">
        <v>57143</v>
      </c>
    </row>
    <row r="49" spans="1:1" x14ac:dyDescent="0.25">
      <c r="A49">
        <v>58958</v>
      </c>
    </row>
    <row r="50" spans="1:1" x14ac:dyDescent="0.25">
      <c r="A50">
        <v>58980</v>
      </c>
    </row>
    <row r="51" spans="1:1" x14ac:dyDescent="0.25">
      <c r="A51">
        <v>69433</v>
      </c>
    </row>
    <row r="52" spans="1:1" x14ac:dyDescent="0.25">
      <c r="A52">
        <v>69449</v>
      </c>
    </row>
    <row r="53" spans="1:1" x14ac:dyDescent="0.25">
      <c r="A53">
        <v>69521</v>
      </c>
    </row>
    <row r="54" spans="1:1" x14ac:dyDescent="0.25">
      <c r="A54">
        <v>69535</v>
      </c>
    </row>
    <row r="55" spans="1:1" x14ac:dyDescent="0.25">
      <c r="A55">
        <v>69558</v>
      </c>
    </row>
    <row r="56" spans="1:1" x14ac:dyDescent="0.25">
      <c r="A56">
        <v>71818</v>
      </c>
    </row>
    <row r="57" spans="1:1" x14ac:dyDescent="0.25">
      <c r="A57">
        <v>71830</v>
      </c>
    </row>
    <row r="58" spans="1:1" x14ac:dyDescent="0.25">
      <c r="A58">
        <v>71847</v>
      </c>
    </row>
  </sheetData>
  <sheetProtection algorithmName="SHA-512" hashValue="pU8RqC28KE9KD8htEBb+iRkDraKWCa6Av4z+lcpFLgsifQf/7ciCvCkK0fm3zDGeEZyvQjK4tT2rWnCzwVx2fQ==" saltValue="zVaPnXo0tVhHNsJTtzj8hA==" spinCount="100000"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EC28C-F1C9-4C97-8CFE-B95072E032E4}">
  <sheetPr codeName="Sheet10"/>
  <dimension ref="B1:D7"/>
  <sheetViews>
    <sheetView workbookViewId="0">
      <selection activeCell="D8" sqref="D8"/>
    </sheetView>
  </sheetViews>
  <sheetFormatPr defaultRowHeight="15" x14ac:dyDescent="0.25"/>
  <cols>
    <col min="2" max="2" width="22.28515625" customWidth="1"/>
    <col min="4" max="4" width="27.42578125" customWidth="1"/>
  </cols>
  <sheetData>
    <row r="1" spans="2:4" x14ac:dyDescent="0.25">
      <c r="B1" s="5" t="s">
        <v>59</v>
      </c>
      <c r="C1" s="5" t="s">
        <v>60</v>
      </c>
      <c r="D1" s="5" t="s">
        <v>61</v>
      </c>
    </row>
    <row r="2" spans="2:4" x14ac:dyDescent="0.25">
      <c r="B2" t="s">
        <v>104</v>
      </c>
      <c r="C2" t="s">
        <v>62</v>
      </c>
      <c r="D2" s="6">
        <v>44814.458333333336</v>
      </c>
    </row>
    <row r="3" spans="2:4" x14ac:dyDescent="0.25">
      <c r="B3" t="s">
        <v>105</v>
      </c>
      <c r="C3" t="s">
        <v>62</v>
      </c>
      <c r="D3" s="6">
        <v>44905.458333333336</v>
      </c>
    </row>
    <row r="4" spans="2:4" x14ac:dyDescent="0.25">
      <c r="B4" t="s">
        <v>66</v>
      </c>
      <c r="C4" t="s">
        <v>67</v>
      </c>
      <c r="D4" s="7">
        <v>1115</v>
      </c>
    </row>
    <row r="5" spans="2:4" x14ac:dyDescent="0.25">
      <c r="B5" t="s">
        <v>103</v>
      </c>
      <c r="C5" t="s">
        <v>62</v>
      </c>
      <c r="D5" s="6" t="s">
        <v>156</v>
      </c>
    </row>
    <row r="6" spans="2:4" x14ac:dyDescent="0.25">
      <c r="B6" t="s">
        <v>106</v>
      </c>
      <c r="C6" t="s">
        <v>107</v>
      </c>
      <c r="D6" t="b">
        <v>0</v>
      </c>
    </row>
    <row r="7" spans="2:4" x14ac:dyDescent="0.25">
      <c r="B7" t="s">
        <v>179</v>
      </c>
      <c r="D7" t="s">
        <v>180</v>
      </c>
    </row>
  </sheetData>
  <sheetProtection algorithmName="SHA-512" hashValue="LlNaLICT+XxZU63fqXfqMOej8Nw+Ck39ON71vlZd6epzIx0u+zCAddGMBkhDVrGA/tiYjkhw+8oFZRA7d81hYw==" saltValue="zYu53ZHl91lr61m1MZfZ5g==" spinCount="100000" sheet="1" objects="1" scenarios="1"/>
  <dataValidations count="1">
    <dataValidation allowBlank="1" showInputMessage="1" showErrorMessage="1" error="Timeout value must be in datetime format mm/dd/yy HH:Min" promptTitle="Timeout Value " prompt="Timeout value must be in datetime format mm/dd/yy HH:Min" sqref="D2:D3 D5" xr:uid="{AA9CA1D9-5BD2-40E6-8C3C-3F5F99DBE202}"/>
  </dataValidations>
  <pageMargins left="0.7" right="0.7" top="0.75" bottom="0.75" header="0.3" footer="0.3"/>
  <pageSetup orientation="portrait" horizontalDpi="90" verticalDpi="9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B8D01-EC26-409C-A6B3-56F8F6C1B65D}">
  <sheetPr codeName="Sheet11"/>
  <dimension ref="A2:F90"/>
  <sheetViews>
    <sheetView workbookViewId="0">
      <selection sqref="A1:XFD1048576"/>
    </sheetView>
  </sheetViews>
  <sheetFormatPr defaultRowHeight="15" x14ac:dyDescent="0.25"/>
  <cols>
    <col min="1" max="1" width="22.28515625" bestFit="1" customWidth="1"/>
    <col min="2" max="2" width="31.42578125" bestFit="1" customWidth="1"/>
    <col min="4" max="4" width="66.42578125" bestFit="1" customWidth="1"/>
  </cols>
  <sheetData>
    <row r="2" spans="1:6" x14ac:dyDescent="0.25">
      <c r="A2" t="s">
        <v>293</v>
      </c>
      <c r="B2" t="s">
        <v>294</v>
      </c>
    </row>
    <row r="3" spans="1:6" x14ac:dyDescent="0.25">
      <c r="A3" t="s">
        <v>538</v>
      </c>
      <c r="B3" t="s">
        <v>537</v>
      </c>
      <c r="D3" t="s">
        <v>537</v>
      </c>
      <c r="E3" t="s">
        <v>539</v>
      </c>
      <c r="F3" s="118">
        <v>44830.604120370372</v>
      </c>
    </row>
    <row r="4" spans="1:6" x14ac:dyDescent="0.25">
      <c r="A4" t="s">
        <v>540</v>
      </c>
      <c r="B4" t="s">
        <v>537</v>
      </c>
      <c r="E4" t="s">
        <v>539</v>
      </c>
      <c r="F4" s="118">
        <v>44830.604120370372</v>
      </c>
    </row>
    <row r="5" spans="1:6" x14ac:dyDescent="0.25">
      <c r="A5" t="s">
        <v>542</v>
      </c>
      <c r="B5" t="s">
        <v>537</v>
      </c>
      <c r="D5" t="s">
        <v>541</v>
      </c>
      <c r="E5" t="s">
        <v>539</v>
      </c>
      <c r="F5" s="118">
        <v>44830.604351851849</v>
      </c>
    </row>
    <row r="6" spans="1:6" x14ac:dyDescent="0.25">
      <c r="A6" t="s">
        <v>543</v>
      </c>
      <c r="B6" t="s">
        <v>537</v>
      </c>
      <c r="D6" t="b">
        <v>0</v>
      </c>
      <c r="E6" t="s">
        <v>539</v>
      </c>
      <c r="F6" s="118">
        <v>44830.605046296296</v>
      </c>
    </row>
    <row r="7" spans="1:6" x14ac:dyDescent="0.25">
      <c r="A7" t="s">
        <v>548</v>
      </c>
      <c r="B7" t="s">
        <v>537</v>
      </c>
      <c r="D7" t="s">
        <v>544</v>
      </c>
      <c r="E7" t="s">
        <v>539</v>
      </c>
      <c r="F7" s="118">
        <v>44830.618113425924</v>
      </c>
    </row>
    <row r="8" spans="1:6" x14ac:dyDescent="0.25">
      <c r="A8" t="s">
        <v>549</v>
      </c>
      <c r="B8" t="s">
        <v>537</v>
      </c>
      <c r="D8" s="118">
        <v>44905.458333333336</v>
      </c>
      <c r="E8" t="s">
        <v>539</v>
      </c>
      <c r="F8" s="118">
        <v>44830.618113425924</v>
      </c>
    </row>
    <row r="9" spans="1:6" x14ac:dyDescent="0.25">
      <c r="A9" t="s">
        <v>550</v>
      </c>
      <c r="B9" t="s">
        <v>537</v>
      </c>
      <c r="D9" s="118">
        <v>44814.458333333336</v>
      </c>
      <c r="E9" t="s">
        <v>539</v>
      </c>
      <c r="F9" s="118">
        <v>44830.618113425924</v>
      </c>
    </row>
    <row r="10" spans="1:6" x14ac:dyDescent="0.25">
      <c r="A10" t="s">
        <v>555</v>
      </c>
      <c r="B10" t="s">
        <v>537</v>
      </c>
      <c r="D10" t="s">
        <v>556</v>
      </c>
      <c r="E10" t="s">
        <v>539</v>
      </c>
      <c r="F10" s="118">
        <v>44830.618692129632</v>
      </c>
    </row>
    <row r="11" spans="1:6" x14ac:dyDescent="0.25">
      <c r="A11" t="s">
        <v>559</v>
      </c>
      <c r="B11" t="s">
        <v>537</v>
      </c>
      <c r="D11" t="s">
        <v>183</v>
      </c>
      <c r="E11" t="s">
        <v>539</v>
      </c>
      <c r="F11" s="118">
        <v>44830.62945601852</v>
      </c>
    </row>
    <row r="12" spans="1:6" x14ac:dyDescent="0.25">
      <c r="A12" t="s">
        <v>565</v>
      </c>
      <c r="B12" t="s">
        <v>537</v>
      </c>
      <c r="D12" t="s">
        <v>566</v>
      </c>
      <c r="E12" t="s">
        <v>539</v>
      </c>
      <c r="F12" s="118">
        <v>44830.63008101852</v>
      </c>
    </row>
    <row r="13" spans="1:6" x14ac:dyDescent="0.25">
      <c r="A13" t="s">
        <v>567</v>
      </c>
      <c r="B13" t="s">
        <v>537</v>
      </c>
      <c r="D13" t="s">
        <v>183</v>
      </c>
      <c r="E13" t="s">
        <v>539</v>
      </c>
      <c r="F13" s="118">
        <v>44830.637604166666</v>
      </c>
    </row>
    <row r="14" spans="1:6" x14ac:dyDescent="0.25">
      <c r="A14" t="s">
        <v>572</v>
      </c>
      <c r="B14" t="s">
        <v>537</v>
      </c>
      <c r="D14" t="s">
        <v>573</v>
      </c>
      <c r="E14" t="s">
        <v>539</v>
      </c>
      <c r="F14" s="118">
        <v>44830.638032407405</v>
      </c>
    </row>
    <row r="15" spans="1:6" x14ac:dyDescent="0.25">
      <c r="A15" t="s">
        <v>574</v>
      </c>
      <c r="B15" t="s">
        <v>537</v>
      </c>
      <c r="D15" t="s">
        <v>253</v>
      </c>
      <c r="E15" t="s">
        <v>539</v>
      </c>
      <c r="F15" s="118">
        <v>44830.655185185184</v>
      </c>
    </row>
    <row r="16" spans="1:6" x14ac:dyDescent="0.25">
      <c r="A16" t="s">
        <v>580</v>
      </c>
      <c r="B16" t="s">
        <v>537</v>
      </c>
      <c r="D16" t="s">
        <v>581</v>
      </c>
      <c r="E16" t="s">
        <v>539</v>
      </c>
      <c r="F16" s="118">
        <v>44830.655428240738</v>
      </c>
    </row>
    <row r="17" spans="1:6" x14ac:dyDescent="0.25">
      <c r="A17" t="s">
        <v>582</v>
      </c>
      <c r="B17" t="s">
        <v>537</v>
      </c>
      <c r="D17" t="s">
        <v>261</v>
      </c>
      <c r="E17" t="s">
        <v>539</v>
      </c>
      <c r="F17" s="118">
        <v>44830.66611111111</v>
      </c>
    </row>
    <row r="18" spans="1:6" x14ac:dyDescent="0.25">
      <c r="A18" t="s">
        <v>588</v>
      </c>
      <c r="B18" t="s">
        <v>537</v>
      </c>
      <c r="D18" t="s">
        <v>589</v>
      </c>
      <c r="E18" t="s">
        <v>539</v>
      </c>
      <c r="F18" s="118">
        <v>44830.667037037034</v>
      </c>
    </row>
    <row r="19" spans="1:6" x14ac:dyDescent="0.25">
      <c r="A19" t="s">
        <v>638</v>
      </c>
      <c r="B19" t="s">
        <v>537</v>
      </c>
      <c r="D19" t="s">
        <v>285</v>
      </c>
      <c r="E19" t="s">
        <v>539</v>
      </c>
      <c r="F19" s="118">
        <v>44830.676666666666</v>
      </c>
    </row>
    <row r="20" spans="1:6" x14ac:dyDescent="0.25">
      <c r="A20" t="s">
        <v>639</v>
      </c>
      <c r="B20" t="s">
        <v>537</v>
      </c>
      <c r="D20" t="s">
        <v>285</v>
      </c>
      <c r="E20" t="s">
        <v>539</v>
      </c>
      <c r="F20" s="118">
        <v>44830.676979166667</v>
      </c>
    </row>
    <row r="21" spans="1:6" x14ac:dyDescent="0.25">
      <c r="A21" t="s">
        <v>645</v>
      </c>
      <c r="B21" t="s">
        <v>537</v>
      </c>
      <c r="D21" t="s">
        <v>646</v>
      </c>
      <c r="E21" t="s">
        <v>539</v>
      </c>
      <c r="F21" s="118">
        <v>44830.677002314813</v>
      </c>
    </row>
    <row r="22" spans="1:6" x14ac:dyDescent="0.25">
      <c r="A22" t="s">
        <v>647</v>
      </c>
      <c r="B22" t="s">
        <v>537</v>
      </c>
      <c r="D22" t="b">
        <v>0</v>
      </c>
      <c r="E22" t="s">
        <v>539</v>
      </c>
      <c r="F22" s="118">
        <v>44830.678831018522</v>
      </c>
    </row>
    <row r="23" spans="1:6" x14ac:dyDescent="0.25">
      <c r="A23" t="s">
        <v>647</v>
      </c>
      <c r="B23" t="s">
        <v>537</v>
      </c>
      <c r="D23" t="b">
        <v>0</v>
      </c>
      <c r="E23" t="s">
        <v>539</v>
      </c>
      <c r="F23" s="118">
        <v>44830.70207175926</v>
      </c>
    </row>
    <row r="24" spans="1:6" x14ac:dyDescent="0.25">
      <c r="A24" t="s">
        <v>648</v>
      </c>
      <c r="B24" t="s">
        <v>537</v>
      </c>
      <c r="D24" t="s">
        <v>253</v>
      </c>
      <c r="E24" t="s">
        <v>539</v>
      </c>
      <c r="F24" s="118">
        <v>44830.712106481478</v>
      </c>
    </row>
    <row r="25" spans="1:6" x14ac:dyDescent="0.25">
      <c r="A25" t="s">
        <v>653</v>
      </c>
      <c r="B25" t="s">
        <v>537</v>
      </c>
      <c r="D25" t="s">
        <v>654</v>
      </c>
      <c r="E25" t="s">
        <v>539</v>
      </c>
      <c r="F25" s="118">
        <v>44830.71266203704</v>
      </c>
    </row>
    <row r="26" spans="1:6" x14ac:dyDescent="0.25">
      <c r="A26" t="s">
        <v>655</v>
      </c>
      <c r="B26" t="s">
        <v>537</v>
      </c>
      <c r="E26" t="s">
        <v>539</v>
      </c>
      <c r="F26" s="118">
        <v>44830.713229166664</v>
      </c>
    </row>
    <row r="27" spans="1:6" x14ac:dyDescent="0.25">
      <c r="A27" t="s">
        <v>656</v>
      </c>
      <c r="B27" t="s">
        <v>537</v>
      </c>
      <c r="E27" t="s">
        <v>539</v>
      </c>
      <c r="F27" s="118">
        <v>44830.713263888887</v>
      </c>
    </row>
    <row r="28" spans="1:6" x14ac:dyDescent="0.25">
      <c r="A28" t="s">
        <v>657</v>
      </c>
      <c r="B28" t="s">
        <v>537</v>
      </c>
      <c r="E28" t="s">
        <v>539</v>
      </c>
      <c r="F28" s="118">
        <v>44830.713275462964</v>
      </c>
    </row>
    <row r="29" spans="1:6" x14ac:dyDescent="0.25">
      <c r="A29" t="s">
        <v>658</v>
      </c>
      <c r="B29" t="s">
        <v>537</v>
      </c>
      <c r="E29" t="s">
        <v>539</v>
      </c>
      <c r="F29" s="118">
        <v>44830.713287037041</v>
      </c>
    </row>
    <row r="30" spans="1:6" x14ac:dyDescent="0.25">
      <c r="A30" t="s">
        <v>659</v>
      </c>
      <c r="B30" t="s">
        <v>537</v>
      </c>
      <c r="E30" t="s">
        <v>539</v>
      </c>
      <c r="F30" s="118">
        <v>44830.713287037041</v>
      </c>
    </row>
    <row r="31" spans="1:6" x14ac:dyDescent="0.25">
      <c r="A31" t="s">
        <v>660</v>
      </c>
      <c r="B31" t="s">
        <v>537</v>
      </c>
      <c r="E31" t="s">
        <v>539</v>
      </c>
      <c r="F31" s="118">
        <v>44830.71329861111</v>
      </c>
    </row>
    <row r="32" spans="1:6" x14ac:dyDescent="0.25">
      <c r="A32" t="s">
        <v>661</v>
      </c>
      <c r="B32" t="s">
        <v>537</v>
      </c>
      <c r="E32" t="s">
        <v>539</v>
      </c>
      <c r="F32" s="118">
        <v>44830.713310185187</v>
      </c>
    </row>
    <row r="33" spans="1:6" x14ac:dyDescent="0.25">
      <c r="A33" t="s">
        <v>662</v>
      </c>
      <c r="B33" t="s">
        <v>537</v>
      </c>
      <c r="E33" t="s">
        <v>539</v>
      </c>
      <c r="F33" s="118">
        <v>44830.713310185187</v>
      </c>
    </row>
    <row r="34" spans="1:6" x14ac:dyDescent="0.25">
      <c r="A34" t="s">
        <v>663</v>
      </c>
      <c r="B34" t="s">
        <v>537</v>
      </c>
      <c r="E34" t="s">
        <v>539</v>
      </c>
      <c r="F34" s="118">
        <v>44830.713321759256</v>
      </c>
    </row>
    <row r="35" spans="1:6" x14ac:dyDescent="0.25">
      <c r="A35" t="s">
        <v>664</v>
      </c>
      <c r="B35" t="s">
        <v>537</v>
      </c>
      <c r="E35" t="s">
        <v>539</v>
      </c>
      <c r="F35" s="118">
        <v>44830.713333333333</v>
      </c>
    </row>
    <row r="36" spans="1:6" x14ac:dyDescent="0.25">
      <c r="A36" t="s">
        <v>665</v>
      </c>
      <c r="B36" t="s">
        <v>537</v>
      </c>
      <c r="E36" t="s">
        <v>539</v>
      </c>
      <c r="F36" s="118">
        <v>44830.713437500002</v>
      </c>
    </row>
    <row r="37" spans="1:6" x14ac:dyDescent="0.25">
      <c r="A37" t="s">
        <v>666</v>
      </c>
      <c r="B37" t="s">
        <v>537</v>
      </c>
      <c r="E37" t="s">
        <v>539</v>
      </c>
      <c r="F37" s="118">
        <v>44830.713449074072</v>
      </c>
    </row>
    <row r="38" spans="1:6" x14ac:dyDescent="0.25">
      <c r="A38" t="s">
        <v>667</v>
      </c>
      <c r="B38" t="s">
        <v>537</v>
      </c>
      <c r="E38" t="s">
        <v>539</v>
      </c>
      <c r="F38" s="118">
        <v>44830.713622685187</v>
      </c>
    </row>
    <row r="39" spans="1:6" x14ac:dyDescent="0.25">
      <c r="A39" t="s">
        <v>668</v>
      </c>
      <c r="B39" t="s">
        <v>537</v>
      </c>
      <c r="D39" t="e">
        <v>#NAME?</v>
      </c>
      <c r="E39" t="s">
        <v>539</v>
      </c>
      <c r="F39" s="118">
        <v>44830.713622685187</v>
      </c>
    </row>
    <row r="40" spans="1:6" x14ac:dyDescent="0.25">
      <c r="A40" t="s">
        <v>668</v>
      </c>
      <c r="B40" t="s">
        <v>537</v>
      </c>
      <c r="E40" t="s">
        <v>539</v>
      </c>
      <c r="F40" s="118">
        <v>44830.713645833333</v>
      </c>
    </row>
    <row r="41" spans="1:6" x14ac:dyDescent="0.25">
      <c r="A41" t="s">
        <v>669</v>
      </c>
      <c r="B41" t="s">
        <v>537</v>
      </c>
      <c r="E41" t="s">
        <v>539</v>
      </c>
      <c r="F41" s="118">
        <v>44830.713773148149</v>
      </c>
    </row>
    <row r="42" spans="1:6" x14ac:dyDescent="0.25">
      <c r="A42" t="s">
        <v>647</v>
      </c>
      <c r="B42" t="s">
        <v>537</v>
      </c>
      <c r="D42" t="b">
        <v>0</v>
      </c>
      <c r="E42" t="s">
        <v>539</v>
      </c>
      <c r="F42" s="118">
        <v>44830.713784722226</v>
      </c>
    </row>
    <row r="43" spans="1:6" x14ac:dyDescent="0.25">
      <c r="A43" t="s">
        <v>670</v>
      </c>
      <c r="B43" t="s">
        <v>537</v>
      </c>
      <c r="E43" t="s">
        <v>539</v>
      </c>
      <c r="F43" s="118">
        <v>44830.713935185187</v>
      </c>
    </row>
    <row r="44" spans="1:6" x14ac:dyDescent="0.25">
      <c r="A44" t="s">
        <v>671</v>
      </c>
      <c r="B44" t="s">
        <v>537</v>
      </c>
      <c r="E44" t="s">
        <v>539</v>
      </c>
      <c r="F44" s="118">
        <v>44830.713946759257</v>
      </c>
    </row>
    <row r="45" spans="1:6" x14ac:dyDescent="0.25">
      <c r="A45" t="s">
        <v>672</v>
      </c>
      <c r="B45" t="s">
        <v>537</v>
      </c>
      <c r="E45" t="s">
        <v>539</v>
      </c>
      <c r="F45" s="118">
        <v>44830.713946759257</v>
      </c>
    </row>
    <row r="46" spans="1:6" x14ac:dyDescent="0.25">
      <c r="A46" t="s">
        <v>673</v>
      </c>
      <c r="B46" t="s">
        <v>537</v>
      </c>
      <c r="E46" t="s">
        <v>539</v>
      </c>
      <c r="F46" s="118">
        <v>44830.713958333334</v>
      </c>
    </row>
    <row r="47" spans="1:6" x14ac:dyDescent="0.25">
      <c r="A47" t="s">
        <v>674</v>
      </c>
      <c r="B47" t="s">
        <v>537</v>
      </c>
      <c r="E47" t="s">
        <v>539</v>
      </c>
      <c r="F47" s="118">
        <v>44830.713969907411</v>
      </c>
    </row>
    <row r="48" spans="1:6" x14ac:dyDescent="0.25">
      <c r="A48" t="s">
        <v>675</v>
      </c>
      <c r="B48" t="s">
        <v>537</v>
      </c>
      <c r="E48" t="s">
        <v>539</v>
      </c>
      <c r="F48" s="118">
        <v>44830.71398148148</v>
      </c>
    </row>
    <row r="49" spans="1:6" x14ac:dyDescent="0.25">
      <c r="A49" t="s">
        <v>676</v>
      </c>
      <c r="B49" t="s">
        <v>537</v>
      </c>
      <c r="E49" t="s">
        <v>539</v>
      </c>
      <c r="F49" s="118">
        <v>44830.71398148148</v>
      </c>
    </row>
    <row r="50" spans="1:6" x14ac:dyDescent="0.25">
      <c r="A50" t="s">
        <v>677</v>
      </c>
      <c r="B50" t="s">
        <v>537</v>
      </c>
      <c r="E50" t="s">
        <v>539</v>
      </c>
      <c r="F50" s="118">
        <v>44830.713993055557</v>
      </c>
    </row>
    <row r="51" spans="1:6" x14ac:dyDescent="0.25">
      <c r="A51" t="s">
        <v>678</v>
      </c>
      <c r="B51" t="s">
        <v>537</v>
      </c>
      <c r="E51" t="s">
        <v>539</v>
      </c>
      <c r="F51" s="118">
        <v>44830.714004629626</v>
      </c>
    </row>
    <row r="52" spans="1:6" x14ac:dyDescent="0.25">
      <c r="A52" t="s">
        <v>679</v>
      </c>
      <c r="B52" t="s">
        <v>537</v>
      </c>
      <c r="E52" t="s">
        <v>539</v>
      </c>
      <c r="F52" s="118">
        <v>44830.714004629626</v>
      </c>
    </row>
    <row r="53" spans="1:6" x14ac:dyDescent="0.25">
      <c r="A53" t="s">
        <v>680</v>
      </c>
      <c r="B53" t="s">
        <v>537</v>
      </c>
      <c r="E53" t="s">
        <v>539</v>
      </c>
      <c r="F53" s="118">
        <v>44830.714016203703</v>
      </c>
    </row>
    <row r="54" spans="1:6" x14ac:dyDescent="0.25">
      <c r="A54" t="s">
        <v>681</v>
      </c>
      <c r="B54" t="s">
        <v>537</v>
      </c>
      <c r="E54" t="s">
        <v>539</v>
      </c>
      <c r="F54" s="118">
        <v>44830.71402777778</v>
      </c>
    </row>
    <row r="55" spans="1:6" x14ac:dyDescent="0.25">
      <c r="A55" t="s">
        <v>682</v>
      </c>
      <c r="B55" t="s">
        <v>537</v>
      </c>
      <c r="E55" t="s">
        <v>539</v>
      </c>
      <c r="F55" s="118">
        <v>44830.714039351849</v>
      </c>
    </row>
    <row r="56" spans="1:6" x14ac:dyDescent="0.25">
      <c r="A56" t="s">
        <v>683</v>
      </c>
      <c r="B56" t="s">
        <v>537</v>
      </c>
      <c r="E56" t="s">
        <v>539</v>
      </c>
      <c r="F56" s="118">
        <v>44830.714039351849</v>
      </c>
    </row>
    <row r="57" spans="1:6" x14ac:dyDescent="0.25">
      <c r="A57" t="s">
        <v>684</v>
      </c>
      <c r="B57" t="s">
        <v>537</v>
      </c>
      <c r="E57" t="s">
        <v>539</v>
      </c>
      <c r="F57" s="118">
        <v>44830.714050925926</v>
      </c>
    </row>
    <row r="58" spans="1:6" x14ac:dyDescent="0.25">
      <c r="A58" t="s">
        <v>685</v>
      </c>
      <c r="B58" t="s">
        <v>537</v>
      </c>
      <c r="E58" t="s">
        <v>539</v>
      </c>
      <c r="F58" s="118">
        <v>44830.714062500003</v>
      </c>
    </row>
    <row r="59" spans="1:6" x14ac:dyDescent="0.25">
      <c r="A59" t="s">
        <v>686</v>
      </c>
      <c r="B59" t="s">
        <v>537</v>
      </c>
      <c r="E59" t="s">
        <v>539</v>
      </c>
      <c r="F59" s="118">
        <v>44830.714062500003</v>
      </c>
    </row>
    <row r="60" spans="1:6" x14ac:dyDescent="0.25">
      <c r="A60" t="s">
        <v>687</v>
      </c>
      <c r="B60" t="s">
        <v>537</v>
      </c>
      <c r="E60" t="s">
        <v>539</v>
      </c>
      <c r="F60" s="118">
        <v>44830.714074074072</v>
      </c>
    </row>
    <row r="61" spans="1:6" x14ac:dyDescent="0.25">
      <c r="A61" t="s">
        <v>688</v>
      </c>
      <c r="B61" t="s">
        <v>537</v>
      </c>
      <c r="E61" t="s">
        <v>539</v>
      </c>
      <c r="F61" s="118">
        <v>44830.714085648149</v>
      </c>
    </row>
    <row r="62" spans="1:6" x14ac:dyDescent="0.25">
      <c r="A62" t="s">
        <v>689</v>
      </c>
      <c r="B62" t="s">
        <v>537</v>
      </c>
      <c r="E62" t="s">
        <v>539</v>
      </c>
      <c r="F62" s="118">
        <v>44830.714097222219</v>
      </c>
    </row>
    <row r="63" spans="1:6" x14ac:dyDescent="0.25">
      <c r="A63" t="s">
        <v>690</v>
      </c>
      <c r="B63" t="s">
        <v>537</v>
      </c>
      <c r="E63" t="s">
        <v>539</v>
      </c>
      <c r="F63" s="118">
        <v>44830.714108796295</v>
      </c>
    </row>
    <row r="64" spans="1:6" x14ac:dyDescent="0.25">
      <c r="A64" t="s">
        <v>691</v>
      </c>
      <c r="B64" t="s">
        <v>537</v>
      </c>
      <c r="E64" t="s">
        <v>539</v>
      </c>
      <c r="F64" s="118">
        <v>44830.714120370372</v>
      </c>
    </row>
    <row r="65" spans="1:6" x14ac:dyDescent="0.25">
      <c r="A65" t="s">
        <v>692</v>
      </c>
      <c r="B65" t="s">
        <v>537</v>
      </c>
      <c r="E65" t="s">
        <v>539</v>
      </c>
      <c r="F65" s="118">
        <v>44830.714131944442</v>
      </c>
    </row>
    <row r="66" spans="1:6" x14ac:dyDescent="0.25">
      <c r="A66" t="s">
        <v>693</v>
      </c>
      <c r="B66" t="s">
        <v>537</v>
      </c>
      <c r="E66" t="s">
        <v>539</v>
      </c>
      <c r="F66" s="118">
        <v>44830.714143518519</v>
      </c>
    </row>
    <row r="67" spans="1:6" x14ac:dyDescent="0.25">
      <c r="A67" t="s">
        <v>694</v>
      </c>
      <c r="B67" t="s">
        <v>537</v>
      </c>
      <c r="E67" t="s">
        <v>539</v>
      </c>
      <c r="F67" s="118">
        <v>44830.714155092595</v>
      </c>
    </row>
    <row r="68" spans="1:6" x14ac:dyDescent="0.25">
      <c r="A68" t="s">
        <v>695</v>
      </c>
      <c r="B68" t="s">
        <v>537</v>
      </c>
      <c r="E68" t="s">
        <v>539</v>
      </c>
      <c r="F68" s="118">
        <v>44830.714236111111</v>
      </c>
    </row>
    <row r="69" spans="1:6" x14ac:dyDescent="0.25">
      <c r="A69" t="s">
        <v>696</v>
      </c>
      <c r="B69" t="s">
        <v>537</v>
      </c>
      <c r="E69" t="s">
        <v>539</v>
      </c>
      <c r="F69" s="118">
        <v>44830.714270833334</v>
      </c>
    </row>
    <row r="70" spans="1:6" x14ac:dyDescent="0.25">
      <c r="A70" t="s">
        <v>697</v>
      </c>
      <c r="B70" t="s">
        <v>537</v>
      </c>
      <c r="E70" t="s">
        <v>539</v>
      </c>
      <c r="F70" s="118">
        <v>44830.71429398148</v>
      </c>
    </row>
    <row r="71" spans="1:6" x14ac:dyDescent="0.25">
      <c r="A71" t="s">
        <v>698</v>
      </c>
      <c r="B71" t="s">
        <v>537</v>
      </c>
      <c r="E71" t="s">
        <v>539</v>
      </c>
      <c r="F71" s="118">
        <v>44830.714317129627</v>
      </c>
    </row>
    <row r="72" spans="1:6" x14ac:dyDescent="0.25">
      <c r="A72" t="s">
        <v>699</v>
      </c>
      <c r="B72" t="s">
        <v>537</v>
      </c>
      <c r="E72" t="s">
        <v>539</v>
      </c>
      <c r="F72" s="118">
        <v>44830.71434027778</v>
      </c>
    </row>
    <row r="73" spans="1:6" x14ac:dyDescent="0.25">
      <c r="A73" t="s">
        <v>700</v>
      </c>
      <c r="B73" t="s">
        <v>537</v>
      </c>
      <c r="E73" t="s">
        <v>539</v>
      </c>
      <c r="F73" s="118">
        <v>44830.71435185185</v>
      </c>
    </row>
    <row r="74" spans="1:6" x14ac:dyDescent="0.25">
      <c r="A74" t="s">
        <v>701</v>
      </c>
      <c r="B74" t="s">
        <v>537</v>
      </c>
      <c r="E74" t="s">
        <v>539</v>
      </c>
      <c r="F74" s="118">
        <v>44830.714363425926</v>
      </c>
    </row>
    <row r="75" spans="1:6" x14ac:dyDescent="0.25">
      <c r="A75" t="s">
        <v>702</v>
      </c>
      <c r="B75" t="s">
        <v>537</v>
      </c>
      <c r="E75" t="s">
        <v>539</v>
      </c>
      <c r="F75" s="118">
        <v>44830.714375000003</v>
      </c>
    </row>
    <row r="76" spans="1:6" x14ac:dyDescent="0.25">
      <c r="A76" t="s">
        <v>703</v>
      </c>
      <c r="B76" t="s">
        <v>537</v>
      </c>
      <c r="E76" t="s">
        <v>539</v>
      </c>
      <c r="F76" s="118">
        <v>44830.714386574073</v>
      </c>
    </row>
    <row r="77" spans="1:6" x14ac:dyDescent="0.25">
      <c r="A77" t="s">
        <v>704</v>
      </c>
      <c r="B77" t="s">
        <v>537</v>
      </c>
      <c r="E77" t="s">
        <v>539</v>
      </c>
      <c r="F77" s="118">
        <v>44830.714398148149</v>
      </c>
    </row>
    <row r="78" spans="1:6" x14ac:dyDescent="0.25">
      <c r="A78" t="s">
        <v>705</v>
      </c>
      <c r="B78" t="s">
        <v>537</v>
      </c>
      <c r="E78" t="s">
        <v>539</v>
      </c>
      <c r="F78" s="118">
        <v>44830.714409722219</v>
      </c>
    </row>
    <row r="79" spans="1:6" x14ac:dyDescent="0.25">
      <c r="A79" t="s">
        <v>706</v>
      </c>
      <c r="B79" t="s">
        <v>537</v>
      </c>
      <c r="E79" t="s">
        <v>539</v>
      </c>
      <c r="F79" s="118">
        <v>44830.714409722219</v>
      </c>
    </row>
    <row r="80" spans="1:6" x14ac:dyDescent="0.25">
      <c r="A80" t="s">
        <v>707</v>
      </c>
      <c r="B80" t="s">
        <v>537</v>
      </c>
      <c r="E80" t="s">
        <v>539</v>
      </c>
      <c r="F80" s="118">
        <v>44830.714421296296</v>
      </c>
    </row>
    <row r="81" spans="1:6" x14ac:dyDescent="0.25">
      <c r="A81" t="s">
        <v>708</v>
      </c>
      <c r="B81" t="s">
        <v>537</v>
      </c>
      <c r="E81" t="s">
        <v>539</v>
      </c>
      <c r="F81" s="118">
        <v>44830.714456018519</v>
      </c>
    </row>
    <row r="82" spans="1:6" x14ac:dyDescent="0.25">
      <c r="A82" t="s">
        <v>648</v>
      </c>
      <c r="B82" t="s">
        <v>537</v>
      </c>
      <c r="D82" t="s">
        <v>253</v>
      </c>
      <c r="E82" t="s">
        <v>539</v>
      </c>
      <c r="F82" s="118">
        <v>44830.714606481481</v>
      </c>
    </row>
    <row r="83" spans="1:6" x14ac:dyDescent="0.25">
      <c r="A83" t="s">
        <v>709</v>
      </c>
      <c r="B83" t="s">
        <v>537</v>
      </c>
      <c r="D83">
        <v>51126</v>
      </c>
      <c r="E83" t="s">
        <v>539</v>
      </c>
      <c r="F83" s="118">
        <v>44830.715856481482</v>
      </c>
    </row>
    <row r="84" spans="1:6" x14ac:dyDescent="0.25">
      <c r="A84" t="s">
        <v>647</v>
      </c>
      <c r="B84" t="s">
        <v>537</v>
      </c>
      <c r="D84" t="b">
        <v>0</v>
      </c>
      <c r="E84" t="s">
        <v>539</v>
      </c>
      <c r="F84" s="118">
        <v>44830.717569444445</v>
      </c>
    </row>
    <row r="85" spans="1:6" x14ac:dyDescent="0.25">
      <c r="A85" t="s">
        <v>647</v>
      </c>
      <c r="B85" t="s">
        <v>537</v>
      </c>
      <c r="D85" t="b">
        <v>0</v>
      </c>
      <c r="E85" t="s">
        <v>539</v>
      </c>
      <c r="F85" s="118">
        <v>44830.720023148147</v>
      </c>
    </row>
    <row r="86" spans="1:6" x14ac:dyDescent="0.25">
      <c r="A86" t="s">
        <v>647</v>
      </c>
      <c r="B86" t="s">
        <v>537</v>
      </c>
      <c r="D86" t="b">
        <v>0</v>
      </c>
      <c r="E86" t="s">
        <v>539</v>
      </c>
      <c r="F86" s="118">
        <v>44830.720266203702</v>
      </c>
    </row>
    <row r="87" spans="1:6" x14ac:dyDescent="0.25">
      <c r="A87" t="s">
        <v>647</v>
      </c>
      <c r="B87" t="s">
        <v>537</v>
      </c>
      <c r="D87" t="b">
        <v>0</v>
      </c>
      <c r="E87" t="s">
        <v>539</v>
      </c>
      <c r="F87" s="118">
        <v>44830.720972222225</v>
      </c>
    </row>
    <row r="88" spans="1:6" x14ac:dyDescent="0.25">
      <c r="A88" t="s">
        <v>647</v>
      </c>
      <c r="B88" t="s">
        <v>537</v>
      </c>
      <c r="D88" t="b">
        <v>0</v>
      </c>
      <c r="E88" t="s">
        <v>539</v>
      </c>
      <c r="F88" s="118">
        <v>44830.721192129633</v>
      </c>
    </row>
    <row r="89" spans="1:6" x14ac:dyDescent="0.25">
      <c r="A89" t="s">
        <v>647</v>
      </c>
      <c r="B89" t="s">
        <v>537</v>
      </c>
      <c r="D89" t="b">
        <v>0</v>
      </c>
      <c r="E89" t="s">
        <v>539</v>
      </c>
      <c r="F89" s="118">
        <v>44830.721875000003</v>
      </c>
    </row>
    <row r="90" spans="1:6" x14ac:dyDescent="0.25">
      <c r="A90" t="s">
        <v>647</v>
      </c>
      <c r="B90" t="s">
        <v>537</v>
      </c>
      <c r="D90" t="b">
        <v>0</v>
      </c>
      <c r="E90" t="s">
        <v>539</v>
      </c>
      <c r="F90" s="118">
        <v>44830.722083333334</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423B3-61D7-47D9-8C11-CE8646F67AAA}">
  <sheetPr codeName="Sheet9"/>
  <dimension ref="A1:N34"/>
  <sheetViews>
    <sheetView workbookViewId="0"/>
  </sheetViews>
  <sheetFormatPr defaultColWidth="9.28515625" defaultRowHeight="15" x14ac:dyDescent="0.25"/>
  <cols>
    <col min="1" max="1" width="37.42578125" style="1" customWidth="1"/>
    <col min="2" max="2" width="25.7109375" style="1" customWidth="1"/>
    <col min="3" max="3" width="22.28515625" style="1" customWidth="1"/>
    <col min="4" max="4" width="17.28515625" style="1" customWidth="1"/>
    <col min="5" max="5" width="19.5703125" style="1" customWidth="1"/>
    <col min="6" max="10" width="9.28515625" style="1"/>
    <col min="11" max="11" width="12.7109375" style="1" bestFit="1" customWidth="1"/>
    <col min="12" max="12" width="23.5703125" style="1" bestFit="1" customWidth="1"/>
    <col min="13" max="13" width="27" style="1" bestFit="1" customWidth="1"/>
    <col min="14" max="14" width="27.7109375" style="1" customWidth="1"/>
    <col min="15" max="16384" width="9.28515625" style="1"/>
  </cols>
  <sheetData>
    <row r="1" spans="1:14" x14ac:dyDescent="0.25">
      <c r="A1" s="1" t="s">
        <v>11</v>
      </c>
      <c r="B1" s="1" t="s">
        <v>12</v>
      </c>
      <c r="C1" s="1" t="s">
        <v>13</v>
      </c>
      <c r="D1" s="2" t="s">
        <v>14</v>
      </c>
      <c r="E1" s="4" t="s">
        <v>49</v>
      </c>
      <c r="F1" s="4" t="s">
        <v>64</v>
      </c>
      <c r="L1" s="12" t="s">
        <v>54</v>
      </c>
      <c r="M1" s="3" t="s">
        <v>55</v>
      </c>
      <c r="N1" s="3" t="s">
        <v>56</v>
      </c>
    </row>
    <row r="2" spans="1:14" x14ac:dyDescent="0.25">
      <c r="A2" s="1" t="s">
        <v>15</v>
      </c>
      <c r="B2" s="1" t="s">
        <v>16</v>
      </c>
      <c r="C2" s="1" t="s">
        <v>17</v>
      </c>
      <c r="D2" s="2" t="s">
        <v>7</v>
      </c>
      <c r="E2" s="2" t="s">
        <v>112</v>
      </c>
      <c r="F2" s="4" t="s">
        <v>63</v>
      </c>
      <c r="I2" s="3" t="s">
        <v>43</v>
      </c>
      <c r="J2" s="3" t="s">
        <v>88</v>
      </c>
      <c r="K2" s="3" t="s">
        <v>98</v>
      </c>
      <c r="L2" s="8"/>
      <c r="M2" s="10" t="s">
        <v>75</v>
      </c>
      <c r="N2" s="3" t="s">
        <v>74</v>
      </c>
    </row>
    <row r="3" spans="1:14" x14ac:dyDescent="0.25">
      <c r="A3" s="1" t="s">
        <v>18</v>
      </c>
      <c r="B3" s="1" t="s">
        <v>19</v>
      </c>
      <c r="C3" s="1" t="s">
        <v>20</v>
      </c>
      <c r="D3" s="2" t="s">
        <v>8</v>
      </c>
      <c r="E3" s="2" t="s">
        <v>111</v>
      </c>
      <c r="F3" s="2" t="s">
        <v>65</v>
      </c>
      <c r="I3" s="3" t="s">
        <v>44</v>
      </c>
      <c r="J3" s="3" t="s">
        <v>87</v>
      </c>
      <c r="K3" s="3" t="s">
        <v>99</v>
      </c>
      <c r="L3" s="8" t="s">
        <v>69</v>
      </c>
      <c r="M3" s="41" t="s">
        <v>102</v>
      </c>
      <c r="N3" s="3" t="s">
        <v>82</v>
      </c>
    </row>
    <row r="4" spans="1:14" x14ac:dyDescent="0.25">
      <c r="A4" s="3" t="s">
        <v>21</v>
      </c>
      <c r="B4" s="3" t="s">
        <v>5</v>
      </c>
      <c r="D4" s="4"/>
      <c r="E4" s="4"/>
      <c r="F4" s="4"/>
      <c r="I4" s="3" t="s">
        <v>45</v>
      </c>
      <c r="K4" s="3" t="s">
        <v>83</v>
      </c>
      <c r="L4" s="8" t="s">
        <v>71</v>
      </c>
      <c r="M4" s="14" t="s">
        <v>95</v>
      </c>
      <c r="N4" s="3" t="s">
        <v>89</v>
      </c>
    </row>
    <row r="5" spans="1:14" x14ac:dyDescent="0.25">
      <c r="A5" s="1" t="s">
        <v>0</v>
      </c>
      <c r="B5" s="1" t="s">
        <v>23</v>
      </c>
      <c r="D5" s="4"/>
      <c r="E5" s="4"/>
      <c r="F5" s="4"/>
      <c r="I5" s="3" t="s">
        <v>46</v>
      </c>
      <c r="K5" s="3" t="s">
        <v>84</v>
      </c>
      <c r="L5" s="8" t="s">
        <v>70</v>
      </c>
      <c r="M5" s="10" t="s">
        <v>77</v>
      </c>
    </row>
    <row r="6" spans="1:14" x14ac:dyDescent="0.25">
      <c r="A6" s="3" t="s">
        <v>5</v>
      </c>
      <c r="B6" s="3" t="s">
        <v>27</v>
      </c>
      <c r="D6" s="4"/>
      <c r="E6" s="4"/>
      <c r="F6" s="4"/>
      <c r="I6" s="3" t="s">
        <v>73</v>
      </c>
      <c r="L6" s="9" t="s">
        <v>90</v>
      </c>
      <c r="M6" s="10" t="s">
        <v>79</v>
      </c>
    </row>
    <row r="7" spans="1:14" ht="25.5" x14ac:dyDescent="0.25">
      <c r="A7" s="1" t="s">
        <v>24</v>
      </c>
      <c r="B7" s="3" t="s">
        <v>25</v>
      </c>
      <c r="D7" s="4"/>
      <c r="E7" s="4"/>
      <c r="F7" s="4"/>
      <c r="L7" s="9" t="s">
        <v>86</v>
      </c>
      <c r="M7" s="14" t="s">
        <v>94</v>
      </c>
      <c r="N7" s="3" t="s">
        <v>15</v>
      </c>
    </row>
    <row r="8" spans="1:14" ht="25.5" x14ac:dyDescent="0.25">
      <c r="A8" s="3" t="s">
        <v>26</v>
      </c>
      <c r="B8" s="1" t="s">
        <v>6</v>
      </c>
      <c r="D8" s="4"/>
      <c r="E8" s="4"/>
      <c r="F8" s="4"/>
      <c r="L8" s="9" t="s">
        <v>72</v>
      </c>
      <c r="M8" s="10" t="s">
        <v>76</v>
      </c>
      <c r="N8" s="3" t="s">
        <v>0</v>
      </c>
    </row>
    <row r="9" spans="1:14" ht="25.5" x14ac:dyDescent="0.25">
      <c r="A9" s="2" t="s">
        <v>25</v>
      </c>
      <c r="B9" s="2" t="s">
        <v>22</v>
      </c>
      <c r="C9" s="4"/>
      <c r="D9" s="4"/>
      <c r="E9" s="4"/>
      <c r="F9" s="4"/>
      <c r="L9" s="9" t="s">
        <v>85</v>
      </c>
      <c r="M9" s="10" t="s">
        <v>80</v>
      </c>
      <c r="N9" s="3" t="s">
        <v>101</v>
      </c>
    </row>
    <row r="10" spans="1:14" x14ac:dyDescent="0.25">
      <c r="A10" s="2" t="s">
        <v>39</v>
      </c>
      <c r="B10" s="4"/>
      <c r="C10" s="4"/>
      <c r="D10" s="4"/>
      <c r="E10" s="4"/>
      <c r="F10" s="4"/>
      <c r="L10" s="13"/>
      <c r="M10" s="10" t="s">
        <v>81</v>
      </c>
      <c r="N10" s="3" t="s">
        <v>96</v>
      </c>
    </row>
    <row r="11" spans="1:14" x14ac:dyDescent="0.25">
      <c r="A11" s="2" t="s">
        <v>4</v>
      </c>
      <c r="B11" s="4"/>
      <c r="C11" s="4"/>
      <c r="D11" s="4"/>
      <c r="E11" s="4"/>
      <c r="F11" s="4"/>
      <c r="M11" s="10" t="s">
        <v>78</v>
      </c>
      <c r="N11" s="3" t="s">
        <v>97</v>
      </c>
    </row>
    <row r="12" spans="1:14" x14ac:dyDescent="0.25">
      <c r="A12" s="3" t="s">
        <v>108</v>
      </c>
      <c r="D12" s="4"/>
      <c r="E12" s="4"/>
      <c r="F12" s="4"/>
      <c r="N12" s="3" t="s">
        <v>100</v>
      </c>
    </row>
    <row r="13" spans="1:14" x14ac:dyDescent="0.25">
      <c r="A13" s="2" t="s">
        <v>40</v>
      </c>
      <c r="B13" s="4"/>
      <c r="C13" s="4"/>
      <c r="D13" s="4"/>
      <c r="E13" s="4"/>
      <c r="F13" s="4"/>
    </row>
    <row r="14" spans="1:14" x14ac:dyDescent="0.25">
      <c r="A14" s="4" t="s">
        <v>41</v>
      </c>
      <c r="B14" s="4"/>
      <c r="C14" s="4"/>
      <c r="D14" s="4"/>
      <c r="E14" s="4"/>
      <c r="F14" s="4"/>
    </row>
    <row r="15" spans="1:14" x14ac:dyDescent="0.25">
      <c r="A15" s="1" t="s">
        <v>9</v>
      </c>
      <c r="D15" s="4"/>
      <c r="E15" s="4"/>
      <c r="F15" s="4"/>
    </row>
    <row r="16" spans="1:14" x14ac:dyDescent="0.25">
      <c r="A16" s="1" t="s">
        <v>28</v>
      </c>
      <c r="D16" s="4"/>
      <c r="E16" s="4"/>
      <c r="F16" s="4"/>
    </row>
    <row r="17" spans="1:6" x14ac:dyDescent="0.25">
      <c r="A17" s="1" t="s">
        <v>29</v>
      </c>
      <c r="D17" s="4"/>
      <c r="E17" s="4"/>
      <c r="F17" s="4"/>
    </row>
    <row r="18" spans="1:6" x14ac:dyDescent="0.25">
      <c r="A18" s="1" t="s">
        <v>30</v>
      </c>
      <c r="D18" s="4"/>
      <c r="E18" s="4"/>
      <c r="F18" s="4"/>
    </row>
    <row r="19" spans="1:6" x14ac:dyDescent="0.25">
      <c r="A19" s="1" t="s">
        <v>3</v>
      </c>
      <c r="D19" s="4"/>
      <c r="E19" s="4"/>
      <c r="F19" s="4"/>
    </row>
    <row r="20" spans="1:6" x14ac:dyDescent="0.25">
      <c r="A20" s="1" t="s">
        <v>31</v>
      </c>
      <c r="D20" s="4"/>
      <c r="E20" s="4"/>
      <c r="F20" s="4"/>
    </row>
    <row r="21" spans="1:6" x14ac:dyDescent="0.25">
      <c r="A21" s="1" t="s">
        <v>32</v>
      </c>
      <c r="D21" s="4"/>
      <c r="E21" s="4"/>
      <c r="F21" s="4"/>
    </row>
    <row r="22" spans="1:6" x14ac:dyDescent="0.25">
      <c r="A22" s="1" t="s">
        <v>33</v>
      </c>
      <c r="D22" s="4"/>
      <c r="E22" s="4"/>
      <c r="F22" s="4"/>
    </row>
    <row r="23" spans="1:6" x14ac:dyDescent="0.25">
      <c r="A23" s="3" t="s">
        <v>110</v>
      </c>
      <c r="D23" s="4"/>
      <c r="E23" s="4"/>
      <c r="F23" s="4"/>
    </row>
    <row r="24" spans="1:6" x14ac:dyDescent="0.25">
      <c r="A24" s="1" t="s">
        <v>2</v>
      </c>
      <c r="D24" s="4"/>
      <c r="E24" s="4"/>
      <c r="F24" s="4"/>
    </row>
    <row r="25" spans="1:6" x14ac:dyDescent="0.25">
      <c r="A25" s="3" t="s">
        <v>1</v>
      </c>
      <c r="D25" s="4"/>
      <c r="E25" s="4"/>
      <c r="F25" s="4"/>
    </row>
    <row r="26" spans="1:6" x14ac:dyDescent="0.25">
      <c r="A26" s="1" t="s">
        <v>34</v>
      </c>
      <c r="D26" s="4"/>
      <c r="E26" s="4"/>
      <c r="F26" s="4"/>
    </row>
    <row r="27" spans="1:6" x14ac:dyDescent="0.25">
      <c r="A27" s="2" t="s">
        <v>6</v>
      </c>
      <c r="B27" s="4"/>
      <c r="C27" s="4"/>
      <c r="D27" s="4"/>
      <c r="E27" s="4"/>
      <c r="F27" s="4"/>
    </row>
    <row r="28" spans="1:6" x14ac:dyDescent="0.25">
      <c r="A28" s="3" t="s">
        <v>109</v>
      </c>
      <c r="D28" s="4"/>
      <c r="E28" s="4"/>
      <c r="F28" s="4"/>
    </row>
    <row r="29" spans="1:6" x14ac:dyDescent="0.25">
      <c r="A29" s="3" t="s">
        <v>35</v>
      </c>
      <c r="D29" s="4"/>
      <c r="E29" s="4"/>
      <c r="F29" s="4"/>
    </row>
    <row r="30" spans="1:6" x14ac:dyDescent="0.25">
      <c r="A30" s="3" t="s">
        <v>36</v>
      </c>
      <c r="D30" s="4"/>
      <c r="E30" s="4"/>
      <c r="F30" s="4"/>
    </row>
    <row r="31" spans="1:6" x14ac:dyDescent="0.25">
      <c r="A31" s="1" t="s">
        <v>37</v>
      </c>
      <c r="D31" s="4"/>
      <c r="E31" s="4"/>
      <c r="F31" s="4"/>
    </row>
    <row r="32" spans="1:6" x14ac:dyDescent="0.25">
      <c r="A32" s="2" t="s">
        <v>47</v>
      </c>
      <c r="B32" s="4"/>
      <c r="C32" s="4"/>
      <c r="D32" s="4"/>
      <c r="E32" s="4"/>
      <c r="F32" s="4"/>
    </row>
    <row r="33" spans="1:6" x14ac:dyDescent="0.25">
      <c r="A33" s="1" t="s">
        <v>10</v>
      </c>
      <c r="D33" s="4"/>
      <c r="E33" s="4"/>
      <c r="F33" s="4"/>
    </row>
    <row r="34" spans="1:6" x14ac:dyDescent="0.25">
      <c r="A34" s="3" t="s">
        <v>38</v>
      </c>
      <c r="D34" s="4"/>
      <c r="E34" s="4"/>
      <c r="F34" s="4"/>
    </row>
  </sheetData>
  <sheetProtection algorithmName="SHA-512" hashValue="8+6mu9Th+h/wdBkeRuY4zp+xQDQrYrMZyXVbPXmg4n69j5rRGYfZaX7c3/VWPB+YyJ3oT+28HoGxKOTlBC0wjw==" saltValue="GAc5LiTutY60EUVjWYEzpQ==" spinCount="100000" sheet="1" objects="1" scenarios="1"/>
  <sortState xmlns:xlrd2="http://schemas.microsoft.com/office/spreadsheetml/2017/richdata2" ref="M2:M11">
    <sortCondition ref="M2"/>
  </sortState>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23F65A8625EC945AC473C654B177667" ma:contentTypeVersion="17" ma:contentTypeDescription="Create a new document." ma:contentTypeScope="" ma:versionID="838c4d304601a5e7b258dfd66d839426">
  <xsd:schema xmlns:xsd="http://www.w3.org/2001/XMLSchema" xmlns:xs="http://www.w3.org/2001/XMLSchema" xmlns:p="http://schemas.microsoft.com/office/2006/metadata/properties" xmlns:ns1="http://schemas.microsoft.com/sharepoint/v3" xmlns:ns3="4c2e146b-1c0e-4b72-9ffe-2ec56877f480" xmlns:ns4="81ed4bc6-3b2e-4fdd-a6e2-9a6a8c179f21" targetNamespace="http://schemas.microsoft.com/office/2006/metadata/properties" ma:root="true" ma:fieldsID="be4bf2075d131e7e8f5772a572bc3809" ns1:_="" ns3:_="" ns4:_="">
    <xsd:import namespace="http://schemas.microsoft.com/sharepoint/v3"/>
    <xsd:import namespace="4c2e146b-1c0e-4b72-9ffe-2ec56877f480"/>
    <xsd:import namespace="81ed4bc6-3b2e-4fdd-a6e2-9a6a8c179f21"/>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EventHashCode" minOccurs="0"/>
                <xsd:element ref="ns4:MediaServiceGenerationTime" minOccurs="0"/>
                <xsd:element ref="ns1:_ip_UnifiedCompliancePolicyProperties" minOccurs="0"/>
                <xsd:element ref="ns1:_ip_UnifiedCompliancePolicyUIAction" minOccurs="0"/>
                <xsd:element ref="ns4:MediaServiceAutoKeyPoints" minOccurs="0"/>
                <xsd:element ref="ns4:MediaServiceKeyPoints" minOccurs="0"/>
                <xsd:element ref="ns4: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xsd:simpleType>
        <xsd:restriction base="dms:Note"/>
      </xsd:simpleType>
    </xsd:element>
    <xsd:element name="_ip_UnifiedCompliancePolicyUIAction" ma:index="21"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c2e146b-1c0e-4b72-9ffe-2ec56877f48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81ed4bc6-3b2e-4fdd-a6e2-9a6a8c179f21" elementFormDefault="qualified">
    <xsd:import namespace="http://schemas.microsoft.com/office/2006/documentManagement/types"/>
    <xsd:import namespace="http://schemas.microsoft.com/office/infopath/2007/PartnerControls"/>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description="" ma:internalName="MediaServiceAutoTags" ma:readOnly="true">
      <xsd:simpleType>
        <xsd:restriction base="dms:Text"/>
      </xsd:simpleType>
    </xsd:element>
    <xsd:element name="MediaServiceLocation" ma:index="17" nillable="true" ma:displayName="MediaServiceLocation" ma:description="" ma:internalName="MediaServiceLocatio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AutoKeyPoints" ma:index="22" nillable="true" ma:displayName="MediaServiceAutoKeyPoints" ma:hidden="true" ma:internalName="MediaServiceAutoKeyPoints" ma:readOnly="true">
      <xsd:simpleType>
        <xsd:restriction base="dms:Note"/>
      </xsd:simpleType>
    </xsd:element>
    <xsd:element name="MediaServiceKeyPoints" ma:index="23" nillable="true" ma:displayName="KeyPoints" ma:internalName="MediaServiceKeyPoints" ma:readOnly="true">
      <xsd:simpleType>
        <xsd:restriction base="dms:Note">
          <xsd:maxLength value="255"/>
        </xsd:restriction>
      </xsd:simpleType>
    </xsd:element>
    <xsd:element name="MediaServiceOCR" ma:index="24"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056E976B-4F4A-445B-B346-71D981BFB0A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c2e146b-1c0e-4b72-9ffe-2ec56877f480"/>
    <ds:schemaRef ds:uri="81ed4bc6-3b2e-4fdd-a6e2-9a6a8c179f2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95403CC-1B98-467D-955B-76DAC9848785}">
  <ds:schemaRefs>
    <ds:schemaRef ds:uri="http://schemas.microsoft.com/sharepoint/v3/contenttype/forms"/>
  </ds:schemaRefs>
</ds:datastoreItem>
</file>

<file path=customXml/itemProps3.xml><?xml version="1.0" encoding="utf-8"?>
<ds:datastoreItem xmlns:ds="http://schemas.openxmlformats.org/officeDocument/2006/customXml" ds:itemID="{1303904B-9588-4137-82B6-20B19435EC63}">
  <ds:schemaRefs>
    <ds:schemaRef ds:uri="http://schemas.microsoft.com/sharepoint/v3"/>
    <ds:schemaRef ds:uri="http://purl.org/dc/dcmitype/"/>
    <ds:schemaRef ds:uri="81ed4bc6-3b2e-4fdd-a6e2-9a6a8c179f21"/>
    <ds:schemaRef ds:uri="http://www.w3.org/XML/1998/namespace"/>
    <ds:schemaRef ds:uri="http://schemas.microsoft.com/office/2006/documentManagement/types"/>
    <ds:schemaRef ds:uri="http://purl.org/dc/terms/"/>
    <ds:schemaRef ds:uri="http://schemas.microsoft.com/office/infopath/2007/PartnerControls"/>
    <ds:schemaRef ds:uri="http://purl.org/dc/elements/1.1/"/>
    <ds:schemaRef ds:uri="http://schemas.openxmlformats.org/package/2006/metadata/core-properties"/>
    <ds:schemaRef ds:uri="4c2e146b-1c0e-4b72-9ffe-2ec56877f480"/>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Student Comments</vt:lpstr>
      <vt:lpstr>Cover Sheet</vt:lpstr>
      <vt:lpstr>'Cover Sheet'!Print_Area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 Cornish;smagdalinski@nait.ca</dc:creator>
  <cp:lastModifiedBy>Dennis Chiu</cp:lastModifiedBy>
  <cp:lastPrinted>2019-09-30T01:40:51Z</cp:lastPrinted>
  <dcterms:created xsi:type="dcterms:W3CDTF">2019-09-18T17:19:38Z</dcterms:created>
  <dcterms:modified xsi:type="dcterms:W3CDTF">2022-09-26T23:19:49Z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0x010100D23F65A8625EC945AC473C654B177667</vt:lpwstr>
  </property>
</Properties>
</file>